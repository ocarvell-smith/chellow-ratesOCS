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T:\Use of System\Price Reviews\2027-04-01\Statements\Excel Documents\"/>
    </mc:Choice>
  </mc:AlternateContent>
  <xr:revisionPtr revIDLastSave="0" documentId="13_ncr:1_{907F77E0-9C50-4895-A30F-6FCC2C388A9D}"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charges'!$A$10:$R$57</definedName>
    <definedName name="_xlnm._FilterDatabase" localSheetId="6" hidden="1">'Annex 4 LDNO charges'!$A$13:$J$203</definedName>
    <definedName name="_xlnm._FilterDatabase" localSheetId="9" hidden="1">'Annex 7 Pass-Through Costs'!$A$4:$E$164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charges'!$A$2:$P$57</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charges'!$A$2:$J$203</definedName>
    <definedName name="_xlnm.Print_Area" localSheetId="7">'Annex 5 LLFs'!$A$2:$G$47</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charges'!$A$2:$I$20</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4" l="1" a="1"/>
  <c r="A13" i="14" s="1"/>
  <c r="B13" i="14" l="1"/>
  <c r="C13" i="14"/>
  <c r="D13" i="14"/>
  <c r="E13" i="14"/>
  <c r="F13" i="14"/>
  <c r="G13" i="14"/>
  <c r="A14" i="14" a="1"/>
  <c r="A14" i="14" s="1"/>
  <c r="H13" i="14"/>
  <c r="D14" i="14" l="1"/>
  <c r="E14" i="14"/>
  <c r="F14" i="14"/>
  <c r="G14" i="14"/>
  <c r="H14" i="14"/>
  <c r="C14" i="14"/>
  <c r="B14" i="14"/>
  <c r="A52" i="13" l="1" a="1"/>
  <c r="A52" i="13" s="1"/>
  <c r="A53" i="13" s="1" a="1"/>
  <c r="A53" i="13" s="1"/>
  <c r="A2" i="24"/>
  <c r="C9" i="15" l="1"/>
  <c r="T10" i="15" l="1"/>
  <c r="S10" i="15"/>
  <c r="R10" i="15"/>
  <c r="Q10" i="15"/>
  <c r="P10" i="15"/>
  <c r="O10" i="15"/>
  <c r="N10" i="15"/>
  <c r="M10" i="15"/>
  <c r="M9" i="15"/>
  <c r="I9" i="15"/>
  <c r="D9" i="15"/>
  <c r="E9" i="15"/>
  <c r="F9" i="15"/>
  <c r="G9" i="15"/>
  <c r="H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c r="B5" i="24"/>
  <c r="A5" i="13" l="1" a="1"/>
  <c r="A5" i="13" s="1"/>
  <c r="I14" i="15" l="1"/>
  <c r="A2" i="27" l="1"/>
  <c r="A2" i="14" l="1"/>
  <c r="A2" i="13"/>
  <c r="A2" i="12" l="1"/>
  <c r="B37" i="27"/>
  <c r="B36" i="27"/>
  <c r="B35" i="27"/>
  <c r="B34" i="27"/>
  <c r="B33" i="27"/>
  <c r="B32" i="27"/>
  <c r="B31" i="27"/>
  <c r="B30" i="27"/>
  <c r="B29" i="27"/>
  <c r="B23" i="27"/>
  <c r="B18" i="27"/>
  <c r="B13" i="27"/>
  <c r="B12" i="27"/>
  <c r="B7" i="27"/>
  <c r="A2" i="26"/>
  <c r="H5" i="13" l="1"/>
  <c r="E5" i="13"/>
  <c r="F5" i="13"/>
  <c r="G5" i="13"/>
  <c r="E12" i="15" l="1"/>
  <c r="D12" i="15"/>
  <c r="C12" i="15"/>
  <c r="B13" i="1" l="1"/>
  <c r="H14" i="15" l="1"/>
  <c r="B2" i="15" l="1"/>
  <c r="A2" i="7"/>
  <c r="A17" i="8"/>
  <c r="A4" i="8"/>
  <c r="A3" i="6"/>
  <c r="A2" i="5"/>
  <c r="A2" i="4" l="1"/>
  <c r="A2" i="2" l="1"/>
  <c r="G10" i="15" s="1"/>
  <c r="I10" i="15" l="1"/>
  <c r="H10" i="15"/>
  <c r="B11" i="1"/>
  <c r="B9" i="1"/>
  <c r="H17" i="15" l="1"/>
  <c r="R9" i="15"/>
  <c r="S9" i="15"/>
  <c r="T9" i="15"/>
  <c r="Q9" i="15"/>
  <c r="N9" i="15"/>
  <c r="O9" i="15"/>
  <c r="P9" i="15"/>
  <c r="Q5" i="8" l="1"/>
  <c r="K5" i="8"/>
  <c r="L5" i="8"/>
  <c r="M5" i="8"/>
  <c r="N5" i="8"/>
  <c r="O5" i="8"/>
  <c r="P5" i="8"/>
  <c r="J5" i="8"/>
  <c r="F4" i="14"/>
  <c r="G4" i="14"/>
  <c r="H4" i="14"/>
  <c r="E4" i="14"/>
  <c r="F4" i="13"/>
  <c r="G4" i="13"/>
  <c r="H4" i="13"/>
  <c r="E4" i="13"/>
  <c r="C14" i="15" l="1"/>
  <c r="A5" i="14" a="1"/>
  <c r="A5" i="14" s="1"/>
  <c r="F5" i="14" l="1"/>
  <c r="G5" i="14"/>
  <c r="E5" i="14"/>
  <c r="H5" i="14"/>
  <c r="D5" i="14"/>
  <c r="A6" i="14" a="1"/>
  <c r="A6" i="14" s="1"/>
  <c r="B5" i="14"/>
  <c r="C5" i="14"/>
  <c r="D5" i="13"/>
  <c r="C5" i="13"/>
  <c r="B5" i="13"/>
  <c r="A6" i="13" a="1"/>
  <c r="A6" i="13" s="1"/>
  <c r="B6" i="14" l="1"/>
  <c r="C6" i="14"/>
  <c r="D6" i="14"/>
  <c r="E6" i="14"/>
  <c r="F6" i="14"/>
  <c r="G6" i="14"/>
  <c r="H6" i="14"/>
  <c r="B6" i="13"/>
  <c r="C6" i="13"/>
  <c r="D6" i="13"/>
  <c r="E6" i="13"/>
  <c r="F6" i="13"/>
  <c r="G6" i="13"/>
  <c r="H6" i="13"/>
  <c r="A7" i="14" a="1"/>
  <c r="A7" i="14" s="1"/>
  <c r="A7" i="13" a="1"/>
  <c r="A7" i="13" s="1"/>
  <c r="R13" i="15"/>
  <c r="R14" i="15" s="1"/>
  <c r="N14" i="15"/>
  <c r="O14" i="15"/>
  <c r="P14" i="15"/>
  <c r="Q14" i="15"/>
  <c r="S14" i="15"/>
  <c r="T14" i="15"/>
  <c r="M14" i="15"/>
  <c r="Q17" i="15"/>
  <c r="P17" i="15"/>
  <c r="O17" i="15"/>
  <c r="N17" i="15"/>
  <c r="M17" i="15"/>
  <c r="D14" i="15"/>
  <c r="E14" i="15"/>
  <c r="F14" i="15"/>
  <c r="H18" i="15" s="1"/>
  <c r="G14" i="15"/>
  <c r="B7" i="14" l="1"/>
  <c r="C7" i="14"/>
  <c r="D7" i="14"/>
  <c r="G7" i="14"/>
  <c r="H7" i="14"/>
  <c r="E7" i="14"/>
  <c r="F7" i="14"/>
  <c r="B7" i="13"/>
  <c r="C7" i="13"/>
  <c r="D7" i="13"/>
  <c r="E7" i="13"/>
  <c r="F7" i="13"/>
  <c r="G7" i="13"/>
  <c r="H7" i="13"/>
  <c r="A8" i="14" a="1"/>
  <c r="A8" i="14" s="1"/>
  <c r="A8" i="13" a="1"/>
  <c r="A8" i="13" s="1"/>
  <c r="S17" i="15"/>
  <c r="T18" i="15"/>
  <c r="R17" i="15"/>
  <c r="P18" i="15"/>
  <c r="M21" i="15"/>
  <c r="T17" i="15"/>
  <c r="M18" i="15"/>
  <c r="Q18" i="15"/>
  <c r="N18" i="15"/>
  <c r="S18" i="15"/>
  <c r="O18" i="15"/>
  <c r="R18" i="15"/>
  <c r="D8" i="14" l="1"/>
  <c r="B8" i="14"/>
  <c r="C8" i="14"/>
  <c r="E8" i="14"/>
  <c r="F8" i="14"/>
  <c r="G8" i="14"/>
  <c r="H8" i="14"/>
  <c r="C8" i="13"/>
  <c r="D8" i="13"/>
  <c r="B8" i="13"/>
  <c r="E8" i="13"/>
  <c r="F8" i="13"/>
  <c r="G8" i="13"/>
  <c r="H8" i="13"/>
  <c r="A9" i="14" a="1"/>
  <c r="A9" i="14" s="1"/>
  <c r="A9" i="13" a="1"/>
  <c r="A9" i="13" s="1"/>
  <c r="N21" i="15"/>
  <c r="M22" i="15"/>
  <c r="N22" i="15"/>
  <c r="E10" i="15"/>
  <c r="C10" i="15"/>
  <c r="C17" i="15" s="1"/>
  <c r="F10" i="15"/>
  <c r="D10" i="15"/>
  <c r="C9" i="14" l="1"/>
  <c r="D9" i="14"/>
  <c r="B9" i="14"/>
  <c r="G9" i="14"/>
  <c r="H9" i="14"/>
  <c r="E9" i="14"/>
  <c r="F9" i="14"/>
  <c r="B9" i="13"/>
  <c r="C9" i="13"/>
  <c r="D9" i="13"/>
  <c r="E9" i="13"/>
  <c r="F9" i="13"/>
  <c r="G9" i="13"/>
  <c r="H9" i="13"/>
  <c r="A10" i="14" a="1"/>
  <c r="A10" i="14" s="1"/>
  <c r="A10" i="13" a="1"/>
  <c r="A10" i="13" s="1"/>
  <c r="C18" i="15"/>
  <c r="G17" i="15"/>
  <c r="G18" i="15"/>
  <c r="D17" i="15"/>
  <c r="D18" i="15"/>
  <c r="E18" i="15"/>
  <c r="E17" i="15"/>
  <c r="F17" i="15"/>
  <c r="F18" i="15"/>
  <c r="I17" i="15"/>
  <c r="I18" i="15"/>
  <c r="B10" i="14" l="1"/>
  <c r="C10" i="14"/>
  <c r="D10" i="14"/>
  <c r="E10" i="14"/>
  <c r="F10" i="14"/>
  <c r="G10" i="14"/>
  <c r="H10" i="14"/>
  <c r="B10" i="13"/>
  <c r="C10" i="13"/>
  <c r="D10" i="13"/>
  <c r="E10" i="13"/>
  <c r="F10" i="13"/>
  <c r="G10" i="13"/>
  <c r="H10" i="13"/>
  <c r="C21" i="15"/>
  <c r="C22" i="15"/>
  <c r="A11" i="14" a="1"/>
  <c r="A11" i="14" s="1"/>
  <c r="A11" i="13" a="1"/>
  <c r="A11" i="13" s="1"/>
  <c r="A12" i="14" l="1" a="1"/>
  <c r="A12" i="14" s="1"/>
  <c r="C11" i="14"/>
  <c r="B11" i="14"/>
  <c r="G11" i="14"/>
  <c r="D11" i="14"/>
  <c r="H11" i="14"/>
  <c r="E11" i="14"/>
  <c r="F11" i="14"/>
  <c r="A12" i="13" a="1"/>
  <c r="A12" i="13" s="1"/>
  <c r="A13" i="13" s="1" a="1"/>
  <c r="A13" i="13" s="1"/>
  <c r="B11" i="13"/>
  <c r="C11" i="13"/>
  <c r="D11" i="13"/>
  <c r="E11" i="13"/>
  <c r="F11" i="13"/>
  <c r="G11" i="13"/>
  <c r="H11" i="13"/>
  <c r="B12" i="14" l="1"/>
  <c r="C12" i="14"/>
  <c r="D12" i="14"/>
  <c r="E12" i="14"/>
  <c r="F12" i="14"/>
  <c r="G12" i="14"/>
  <c r="H12" i="14"/>
  <c r="D13" i="13"/>
  <c r="B13" i="13"/>
  <c r="E13" i="13"/>
  <c r="F13" i="13"/>
  <c r="G13" i="13"/>
  <c r="C13" i="13"/>
  <c r="H13" i="13"/>
  <c r="B12" i="13"/>
  <c r="C12" i="13"/>
  <c r="D12" i="13"/>
  <c r="E12" i="13"/>
  <c r="F12" i="13"/>
  <c r="G12" i="13"/>
  <c r="H12" i="13"/>
  <c r="A14" i="13" a="1"/>
  <c r="A14" i="13" s="1"/>
  <c r="B14" i="13" l="1"/>
  <c r="C14" i="13"/>
  <c r="D14" i="13"/>
  <c r="E14" i="13"/>
  <c r="F14" i="13"/>
  <c r="G14" i="13"/>
  <c r="H14" i="13"/>
  <c r="A15" i="14" a="1"/>
  <c r="A15" i="14" s="1"/>
  <c r="A15" i="13" a="1"/>
  <c r="A15" i="13" s="1"/>
  <c r="B15" i="14" l="1"/>
  <c r="C15" i="14"/>
  <c r="D15" i="14"/>
  <c r="G15" i="14"/>
  <c r="H15" i="14"/>
  <c r="E15" i="14"/>
  <c r="F15" i="14"/>
  <c r="B15" i="13"/>
  <c r="C15" i="13"/>
  <c r="D15" i="13"/>
  <c r="E15" i="13"/>
  <c r="F15" i="13"/>
  <c r="G15" i="13"/>
  <c r="H15" i="13"/>
  <c r="A16" i="14" a="1"/>
  <c r="A16" i="14" s="1"/>
  <c r="A16" i="13" a="1"/>
  <c r="A16" i="13" s="1"/>
  <c r="D16" i="14" l="1"/>
  <c r="B16" i="14"/>
  <c r="C16" i="14"/>
  <c r="E16" i="14"/>
  <c r="F16" i="14"/>
  <c r="G16" i="14"/>
  <c r="H16" i="14"/>
  <c r="C16" i="13"/>
  <c r="D16" i="13"/>
  <c r="B16" i="13"/>
  <c r="E16" i="13"/>
  <c r="F16" i="13"/>
  <c r="G16" i="13"/>
  <c r="H16" i="13"/>
  <c r="A17" i="14" a="1"/>
  <c r="A17" i="14" s="1"/>
  <c r="A17" i="13" a="1"/>
  <c r="A17" i="13" s="1"/>
  <c r="C17" i="14" l="1"/>
  <c r="D17" i="14"/>
  <c r="G17" i="14"/>
  <c r="H17" i="14"/>
  <c r="B17" i="14"/>
  <c r="E17" i="14"/>
  <c r="F17" i="14"/>
  <c r="B17" i="13"/>
  <c r="C17" i="13"/>
  <c r="D17" i="13"/>
  <c r="E17" i="13"/>
  <c r="F17" i="13"/>
  <c r="G17" i="13"/>
  <c r="H17" i="13"/>
  <c r="A18" i="14" a="1"/>
  <c r="A18" i="14" s="1"/>
  <c r="A18" i="13" a="1"/>
  <c r="A18" i="13" s="1"/>
  <c r="B18" i="14" l="1"/>
  <c r="C18" i="14"/>
  <c r="D18" i="14"/>
  <c r="E18" i="14"/>
  <c r="F18" i="14"/>
  <c r="G18" i="14"/>
  <c r="H18" i="14"/>
  <c r="B18" i="13"/>
  <c r="C18" i="13"/>
  <c r="E18" i="13"/>
  <c r="D18" i="13"/>
  <c r="F18" i="13"/>
  <c r="G18" i="13"/>
  <c r="H18" i="13"/>
  <c r="A19" i="14" a="1"/>
  <c r="A19" i="14" s="1"/>
  <c r="A19" i="13" a="1"/>
  <c r="A19" i="13" s="1"/>
  <c r="C19" i="14" l="1"/>
  <c r="B19" i="14"/>
  <c r="G19" i="14"/>
  <c r="H19" i="14"/>
  <c r="D19" i="14"/>
  <c r="E19" i="14"/>
  <c r="F19" i="14"/>
  <c r="B19" i="13"/>
  <c r="C19" i="13"/>
  <c r="D19" i="13"/>
  <c r="E19" i="13"/>
  <c r="F19" i="13"/>
  <c r="G19" i="13"/>
  <c r="H19" i="13"/>
  <c r="A20" i="14" a="1"/>
  <c r="A20" i="14" s="1"/>
  <c r="A20" i="13" a="1"/>
  <c r="A20" i="13" s="1"/>
  <c r="B20" i="14" l="1"/>
  <c r="C20" i="14"/>
  <c r="D20" i="14"/>
  <c r="E20" i="14"/>
  <c r="F20" i="14"/>
  <c r="G20" i="14"/>
  <c r="H20" i="14"/>
  <c r="B20" i="13"/>
  <c r="C20" i="13"/>
  <c r="D20" i="13"/>
  <c r="E20" i="13"/>
  <c r="F20" i="13"/>
  <c r="G20" i="13"/>
  <c r="H20" i="13"/>
  <c r="A21" i="14" a="1"/>
  <c r="A21" i="14" s="1"/>
  <c r="A21" i="13" a="1"/>
  <c r="A21" i="13" s="1"/>
  <c r="B21" i="14" l="1"/>
  <c r="C21" i="14"/>
  <c r="D21" i="14"/>
  <c r="G21" i="14"/>
  <c r="H21" i="14"/>
  <c r="E21" i="14"/>
  <c r="F21" i="14"/>
  <c r="D21" i="13"/>
  <c r="B21" i="13"/>
  <c r="E21" i="13"/>
  <c r="F21" i="13"/>
  <c r="G21" i="13"/>
  <c r="H21" i="13"/>
  <c r="C21" i="13"/>
  <c r="A22" i="14" a="1"/>
  <c r="A22" i="14" s="1"/>
  <c r="A22" i="13" a="1"/>
  <c r="A22" i="13" s="1"/>
  <c r="B22" i="14" l="1"/>
  <c r="D22" i="14"/>
  <c r="E22" i="14"/>
  <c r="F22" i="14"/>
  <c r="G22" i="14"/>
  <c r="C22" i="14"/>
  <c r="H22" i="14"/>
  <c r="B22" i="13"/>
  <c r="C22" i="13"/>
  <c r="D22" i="13"/>
  <c r="E22" i="13"/>
  <c r="F22" i="13"/>
  <c r="G22" i="13"/>
  <c r="H22" i="13"/>
  <c r="A23" i="14" a="1"/>
  <c r="A23" i="14" s="1"/>
  <c r="A23" i="13" a="1"/>
  <c r="A23" i="13" s="1"/>
  <c r="B23" i="14" l="1"/>
  <c r="C23" i="14"/>
  <c r="D23" i="14"/>
  <c r="G23" i="14"/>
  <c r="H23" i="14"/>
  <c r="E23" i="14"/>
  <c r="F23" i="14"/>
  <c r="B23" i="13"/>
  <c r="C23" i="13"/>
  <c r="D23" i="13"/>
  <c r="E23" i="13"/>
  <c r="F23" i="13"/>
  <c r="G23" i="13"/>
  <c r="H23" i="13"/>
  <c r="A24" i="14" a="1"/>
  <c r="A24" i="14" s="1"/>
  <c r="A24" i="13" a="1"/>
  <c r="A24" i="13" s="1"/>
  <c r="D24" i="14" l="1"/>
  <c r="B24" i="14"/>
  <c r="C24" i="14"/>
  <c r="E24" i="14"/>
  <c r="F24" i="14"/>
  <c r="G24" i="14"/>
  <c r="H24" i="14"/>
  <c r="A25" i="13" a="1"/>
  <c r="A25" i="13" s="1"/>
  <c r="A26" i="13" s="1" a="1"/>
  <c r="A26" i="13" s="1"/>
  <c r="C24" i="13"/>
  <c r="D24" i="13"/>
  <c r="E24" i="13"/>
  <c r="F24" i="13"/>
  <c r="G24" i="13"/>
  <c r="B24" i="13"/>
  <c r="H24" i="13"/>
  <c r="A25" i="14" a="1"/>
  <c r="A25" i="14" s="1"/>
  <c r="C25" i="14" l="1"/>
  <c r="D25" i="14"/>
  <c r="G25" i="14"/>
  <c r="H25" i="14"/>
  <c r="B25" i="14"/>
  <c r="E25" i="14"/>
  <c r="F25" i="14"/>
  <c r="B26" i="13"/>
  <c r="C26" i="13"/>
  <c r="D26" i="13"/>
  <c r="E26" i="13"/>
  <c r="F26" i="13"/>
  <c r="G26" i="13"/>
  <c r="H26" i="13"/>
  <c r="B25" i="13"/>
  <c r="C25" i="13"/>
  <c r="D25" i="13"/>
  <c r="E25" i="13"/>
  <c r="F25" i="13"/>
  <c r="G25" i="13"/>
  <c r="H25" i="13"/>
  <c r="A26" i="14" a="1"/>
  <c r="A26" i="14" s="1"/>
  <c r="A27" i="13" a="1"/>
  <c r="A27" i="13" s="1"/>
  <c r="B26" i="14" l="1"/>
  <c r="C26" i="14"/>
  <c r="D26" i="14"/>
  <c r="E26" i="14"/>
  <c r="F26" i="14"/>
  <c r="G26" i="14"/>
  <c r="H26" i="14"/>
  <c r="B27" i="13"/>
  <c r="C27" i="13"/>
  <c r="D27" i="13"/>
  <c r="E27" i="13"/>
  <c r="F27" i="13"/>
  <c r="G27" i="13"/>
  <c r="H27" i="13"/>
  <c r="A27" i="14" a="1"/>
  <c r="A27" i="14" s="1"/>
  <c r="A28" i="13" a="1"/>
  <c r="A28" i="13" s="1"/>
  <c r="C27" i="14" l="1"/>
  <c r="B27" i="14"/>
  <c r="G27" i="14"/>
  <c r="H27" i="14"/>
  <c r="D27" i="14"/>
  <c r="E27" i="14"/>
  <c r="F27" i="14"/>
  <c r="B28" i="13"/>
  <c r="C28" i="13"/>
  <c r="D28" i="13"/>
  <c r="E28" i="13"/>
  <c r="F28" i="13"/>
  <c r="G28" i="13"/>
  <c r="H28" i="13"/>
  <c r="A28" i="14" a="1"/>
  <c r="A28" i="14" s="1"/>
  <c r="A29" i="13" a="1"/>
  <c r="A29" i="13" s="1"/>
  <c r="B28" i="14" l="1"/>
  <c r="C28" i="14"/>
  <c r="D28" i="14"/>
  <c r="E28" i="14"/>
  <c r="F28" i="14"/>
  <c r="G28" i="14"/>
  <c r="H28" i="14"/>
  <c r="D29" i="13"/>
  <c r="B29" i="13"/>
  <c r="E29" i="13"/>
  <c r="C29" i="13"/>
  <c r="F29" i="13"/>
  <c r="G29" i="13"/>
  <c r="H29" i="13"/>
  <c r="A29" i="14" a="1"/>
  <c r="A29" i="14" s="1"/>
  <c r="A30" i="13" a="1"/>
  <c r="A30" i="13" s="1"/>
  <c r="B29" i="14" l="1"/>
  <c r="C29" i="14"/>
  <c r="D29" i="14"/>
  <c r="G29" i="14"/>
  <c r="H29" i="14"/>
  <c r="E29" i="14"/>
  <c r="F29" i="14"/>
  <c r="B30" i="13"/>
  <c r="C30" i="13"/>
  <c r="D30" i="13"/>
  <c r="E30" i="13"/>
  <c r="F30" i="13"/>
  <c r="G30" i="13"/>
  <c r="H30" i="13"/>
  <c r="A30" i="14" a="1"/>
  <c r="A30" i="14" s="1"/>
  <c r="A31" i="13" a="1"/>
  <c r="A31" i="13" s="1"/>
  <c r="B30" i="14" l="1"/>
  <c r="D30" i="14"/>
  <c r="C30" i="14"/>
  <c r="E30" i="14"/>
  <c r="F30" i="14"/>
  <c r="G30" i="14"/>
  <c r="H30" i="14"/>
  <c r="B31" i="13"/>
  <c r="C31" i="13"/>
  <c r="D31" i="13"/>
  <c r="E31" i="13"/>
  <c r="F31" i="13"/>
  <c r="G31" i="13"/>
  <c r="H31" i="13"/>
  <c r="A31" i="14" a="1"/>
  <c r="A31" i="14" s="1"/>
  <c r="A32" i="13" a="1"/>
  <c r="A32" i="13" s="1"/>
  <c r="B31" i="14" l="1"/>
  <c r="C31" i="14"/>
  <c r="D31" i="14"/>
  <c r="G31" i="14"/>
  <c r="H31" i="14"/>
  <c r="E31" i="14"/>
  <c r="F31" i="14"/>
  <c r="C32" i="13"/>
  <c r="D32" i="13"/>
  <c r="B32" i="13"/>
  <c r="E32" i="13"/>
  <c r="F32" i="13"/>
  <c r="G32" i="13"/>
  <c r="H32" i="13"/>
  <c r="A32" i="14" a="1"/>
  <c r="A32" i="14" s="1"/>
  <c r="A33" i="13" a="1"/>
  <c r="A33" i="13" s="1"/>
  <c r="D32" i="14" l="1"/>
  <c r="B32" i="14"/>
  <c r="C32" i="14"/>
  <c r="E32" i="14"/>
  <c r="F32" i="14"/>
  <c r="G32" i="14"/>
  <c r="H32" i="14"/>
  <c r="B33" i="13"/>
  <c r="C33" i="13"/>
  <c r="D33" i="13"/>
  <c r="E33" i="13"/>
  <c r="F33" i="13"/>
  <c r="G33" i="13"/>
  <c r="H33" i="13"/>
  <c r="A33" i="14" a="1"/>
  <c r="A33" i="14" s="1"/>
  <c r="A34" i="13" a="1"/>
  <c r="A34" i="13" s="1"/>
  <c r="C33" i="14" l="1"/>
  <c r="D33" i="14"/>
  <c r="G33" i="14"/>
  <c r="B33" i="14"/>
  <c r="H33" i="14"/>
  <c r="E33" i="14"/>
  <c r="F33" i="14"/>
  <c r="B34" i="13"/>
  <c r="C34" i="13"/>
  <c r="D34" i="13"/>
  <c r="E34" i="13"/>
  <c r="F34" i="13"/>
  <c r="G34" i="13"/>
  <c r="H34" i="13"/>
  <c r="A34" i="14" a="1"/>
  <c r="A34" i="14" s="1"/>
  <c r="A35" i="13" a="1"/>
  <c r="A35" i="13" s="1"/>
  <c r="B34" i="14" l="1"/>
  <c r="C34" i="14"/>
  <c r="D34" i="14"/>
  <c r="E34" i="14"/>
  <c r="F34" i="14"/>
  <c r="G34" i="14"/>
  <c r="H34" i="14"/>
  <c r="B35" i="13"/>
  <c r="C35" i="13"/>
  <c r="D35" i="13"/>
  <c r="E35" i="13"/>
  <c r="F35" i="13"/>
  <c r="G35" i="13"/>
  <c r="H35" i="13"/>
  <c r="A35" i="14" a="1"/>
  <c r="A35" i="14" s="1"/>
  <c r="A36" i="13" a="1"/>
  <c r="A36" i="13" s="1"/>
  <c r="C35" i="14" l="1"/>
  <c r="B35" i="14"/>
  <c r="G35" i="14"/>
  <c r="H35" i="14"/>
  <c r="D35" i="14"/>
  <c r="E35" i="14"/>
  <c r="F35" i="14"/>
  <c r="B36" i="13"/>
  <c r="C36" i="13"/>
  <c r="D36" i="13"/>
  <c r="E36" i="13"/>
  <c r="F36" i="13"/>
  <c r="G36" i="13"/>
  <c r="H36" i="13"/>
  <c r="A36" i="14" a="1"/>
  <c r="A36" i="14" s="1"/>
  <c r="A37" i="13" a="1"/>
  <c r="A37" i="13" s="1"/>
  <c r="B36" i="14" l="1"/>
  <c r="C36" i="14"/>
  <c r="D36" i="14"/>
  <c r="E36" i="14"/>
  <c r="F36" i="14"/>
  <c r="G36" i="14"/>
  <c r="H36" i="14"/>
  <c r="A38" i="13" a="1"/>
  <c r="A38" i="13" s="1"/>
  <c r="A39" i="13" s="1" a="1"/>
  <c r="A39" i="13" s="1"/>
  <c r="D37" i="13"/>
  <c r="B37" i="13"/>
  <c r="E37" i="13"/>
  <c r="F37" i="13"/>
  <c r="G37" i="13"/>
  <c r="H37" i="13"/>
  <c r="C37" i="13"/>
  <c r="A37" i="14" a="1"/>
  <c r="A37" i="14" s="1"/>
  <c r="B37" i="14" l="1"/>
  <c r="C37" i="14"/>
  <c r="D37" i="14"/>
  <c r="G37" i="14"/>
  <c r="H37" i="14"/>
  <c r="E37" i="14"/>
  <c r="F37" i="14"/>
  <c r="B39" i="13"/>
  <c r="C39" i="13"/>
  <c r="D39" i="13"/>
  <c r="E39" i="13"/>
  <c r="F39" i="13"/>
  <c r="G39" i="13"/>
  <c r="H39" i="13"/>
  <c r="B38" i="13"/>
  <c r="C38" i="13"/>
  <c r="D38" i="13"/>
  <c r="E38" i="13"/>
  <c r="F38" i="13"/>
  <c r="G38" i="13"/>
  <c r="H38" i="13"/>
  <c r="A38" i="14" a="1"/>
  <c r="A38" i="14" s="1"/>
  <c r="A40" i="13" a="1"/>
  <c r="A40" i="13" s="1"/>
  <c r="B38" i="14" l="1"/>
  <c r="D38" i="14"/>
  <c r="E38" i="14"/>
  <c r="C38" i="14"/>
  <c r="F38" i="14"/>
  <c r="G38" i="14"/>
  <c r="H38" i="14"/>
  <c r="C40" i="13"/>
  <c r="D40" i="13"/>
  <c r="B40" i="13"/>
  <c r="F40" i="13"/>
  <c r="H40" i="13"/>
  <c r="E40" i="13"/>
  <c r="G40" i="13"/>
  <c r="A39" i="14" a="1"/>
  <c r="A39" i="14" s="1"/>
  <c r="A41" i="13" a="1"/>
  <c r="A41" i="13" s="1"/>
  <c r="B39" i="14" l="1"/>
  <c r="C39" i="14"/>
  <c r="D39" i="14"/>
  <c r="G39" i="14"/>
  <c r="H39" i="14"/>
  <c r="E39" i="14"/>
  <c r="F39" i="14"/>
  <c r="B41" i="13"/>
  <c r="C41" i="13"/>
  <c r="D41" i="13"/>
  <c r="E41" i="13"/>
  <c r="F41" i="13"/>
  <c r="G41" i="13"/>
  <c r="H41" i="13"/>
  <c r="A40" i="14" a="1"/>
  <c r="A40" i="14" s="1"/>
  <c r="A42" i="13" a="1"/>
  <c r="A42" i="13" s="1"/>
  <c r="D40" i="14" l="1"/>
  <c r="B40" i="14"/>
  <c r="C40" i="14"/>
  <c r="E40" i="14"/>
  <c r="F40" i="14"/>
  <c r="G40" i="14"/>
  <c r="H40" i="14"/>
  <c r="B42" i="13"/>
  <c r="C42" i="13"/>
  <c r="F42" i="13"/>
  <c r="D42" i="13"/>
  <c r="H42" i="13"/>
  <c r="E42" i="13"/>
  <c r="G42" i="13"/>
  <c r="A41" i="14" a="1"/>
  <c r="A41" i="14" s="1"/>
  <c r="A43" i="13" a="1"/>
  <c r="A43" i="13" s="1"/>
  <c r="C41" i="14" l="1"/>
  <c r="D41" i="14"/>
  <c r="G41" i="14"/>
  <c r="H41" i="14"/>
  <c r="B41" i="14"/>
  <c r="E41" i="14"/>
  <c r="F41" i="14"/>
  <c r="B43" i="13"/>
  <c r="C43" i="13"/>
  <c r="D43" i="13"/>
  <c r="F43" i="13"/>
  <c r="G43" i="13"/>
  <c r="H43" i="13"/>
  <c r="E43" i="13"/>
  <c r="A42" i="14" a="1"/>
  <c r="A42" i="14" s="1"/>
  <c r="A44" i="13" a="1"/>
  <c r="A44" i="13" s="1"/>
  <c r="B42" i="14" l="1"/>
  <c r="C42" i="14"/>
  <c r="D42" i="14"/>
  <c r="F42" i="14"/>
  <c r="G42" i="14"/>
  <c r="H42" i="14"/>
  <c r="E42" i="14"/>
  <c r="B44" i="13"/>
  <c r="C44" i="13"/>
  <c r="D44" i="13"/>
  <c r="F44" i="13"/>
  <c r="H44" i="13"/>
  <c r="E44" i="13"/>
  <c r="G44" i="13"/>
  <c r="A43" i="14" a="1"/>
  <c r="A43" i="14" s="1"/>
  <c r="A45" i="13" a="1"/>
  <c r="A45" i="13" s="1"/>
  <c r="C43" i="14" l="1"/>
  <c r="B43" i="14"/>
  <c r="G43" i="14"/>
  <c r="H43" i="14"/>
  <c r="D43" i="14"/>
  <c r="E43" i="14"/>
  <c r="F43" i="14"/>
  <c r="D45" i="13"/>
  <c r="B45" i="13"/>
  <c r="F45" i="13"/>
  <c r="G45" i="13"/>
  <c r="H45" i="13"/>
  <c r="C45" i="13"/>
  <c r="E45" i="13"/>
  <c r="A44" i="14" a="1"/>
  <c r="A44" i="14" s="1"/>
  <c r="A46" i="13" a="1"/>
  <c r="A46" i="13" s="1"/>
  <c r="B44" i="14" l="1"/>
  <c r="C44" i="14"/>
  <c r="D44" i="14"/>
  <c r="F44" i="14"/>
  <c r="H44" i="14"/>
  <c r="E44" i="14"/>
  <c r="G44" i="14"/>
  <c r="B46" i="13"/>
  <c r="C46" i="13"/>
  <c r="D46" i="13"/>
  <c r="F46" i="13"/>
  <c r="H46" i="13"/>
  <c r="E46" i="13"/>
  <c r="G46" i="13"/>
  <c r="A45" i="14" a="1"/>
  <c r="A45" i="14" s="1"/>
  <c r="A47" i="13" a="1"/>
  <c r="A47" i="13" s="1"/>
  <c r="B45" i="14" l="1"/>
  <c r="C45" i="14"/>
  <c r="D45" i="14"/>
  <c r="G45" i="14"/>
  <c r="H45" i="14"/>
  <c r="F45" i="14"/>
  <c r="E45" i="14"/>
  <c r="B47" i="13"/>
  <c r="C47" i="13"/>
  <c r="D47" i="13"/>
  <c r="F47" i="13"/>
  <c r="G47" i="13"/>
  <c r="H47" i="13"/>
  <c r="E47" i="13"/>
  <c r="A46" i="14" a="1"/>
  <c r="A46" i="14" s="1"/>
  <c r="A48" i="13" a="1"/>
  <c r="A48" i="13" s="1"/>
  <c r="B46" i="14" l="1"/>
  <c r="D46" i="14"/>
  <c r="F46" i="14"/>
  <c r="H46" i="14"/>
  <c r="C46" i="14"/>
  <c r="E46" i="14"/>
  <c r="G46" i="14"/>
  <c r="C48" i="13"/>
  <c r="D48" i="13"/>
  <c r="B48" i="13"/>
  <c r="F48" i="13"/>
  <c r="H48" i="13"/>
  <c r="E48" i="13"/>
  <c r="G48" i="13"/>
  <c r="A47" i="14" a="1"/>
  <c r="A47" i="14" s="1"/>
  <c r="A49" i="13" a="1"/>
  <c r="A49" i="13" s="1"/>
  <c r="B47" i="14" l="1"/>
  <c r="C47" i="14"/>
  <c r="D47" i="14"/>
  <c r="G47" i="14"/>
  <c r="H47" i="14"/>
  <c r="E47" i="14"/>
  <c r="F47" i="14"/>
  <c r="B49" i="13"/>
  <c r="C49" i="13"/>
  <c r="D49" i="13"/>
  <c r="F49" i="13"/>
  <c r="G49" i="13"/>
  <c r="H49" i="13"/>
  <c r="E49" i="13"/>
  <c r="A48" i="14" a="1"/>
  <c r="A48" i="14" s="1"/>
  <c r="A50" i="13" a="1"/>
  <c r="A50" i="13" s="1"/>
  <c r="D48" i="14" l="1"/>
  <c r="B48" i="14"/>
  <c r="C48" i="14"/>
  <c r="F48" i="14"/>
  <c r="H48" i="14"/>
  <c r="E48" i="14"/>
  <c r="G48" i="14"/>
  <c r="B50" i="13"/>
  <c r="C50" i="13"/>
  <c r="D50" i="13"/>
  <c r="F50" i="13"/>
  <c r="H50" i="13"/>
  <c r="G50" i="13"/>
  <c r="E50" i="13"/>
  <c r="A49" i="14" a="1"/>
  <c r="A49" i="14" s="1"/>
  <c r="A51" i="13" a="1"/>
  <c r="A51" i="13" s="1"/>
  <c r="C49" i="14" l="1"/>
  <c r="D49" i="14"/>
  <c r="G49" i="14"/>
  <c r="H49" i="14"/>
  <c r="F49" i="14"/>
  <c r="B49" i="14"/>
  <c r="E49" i="14"/>
  <c r="B51" i="13"/>
  <c r="C51" i="13"/>
  <c r="D51" i="13"/>
  <c r="F51" i="13"/>
  <c r="G51" i="13"/>
  <c r="H51" i="13"/>
  <c r="E51" i="13"/>
  <c r="A50" i="14" a="1"/>
  <c r="A50" i="14" s="1"/>
  <c r="B50" i="14" l="1"/>
  <c r="C50" i="14"/>
  <c r="D50" i="14"/>
  <c r="F50" i="14"/>
  <c r="H50" i="14"/>
  <c r="E50" i="14"/>
  <c r="G50" i="14"/>
  <c r="B52" i="13"/>
  <c r="C52" i="13"/>
  <c r="D52" i="13"/>
  <c r="F52" i="13"/>
  <c r="H52" i="13"/>
  <c r="E52" i="13"/>
  <c r="G52" i="13"/>
  <c r="A51" i="14" a="1"/>
  <c r="A51" i="14" s="1"/>
  <c r="C51" i="14" l="1"/>
  <c r="B51" i="14"/>
  <c r="D51" i="14"/>
  <c r="G51" i="14"/>
  <c r="H51" i="14"/>
  <c r="E51" i="14"/>
  <c r="F51" i="14"/>
  <c r="D53" i="13"/>
  <c r="B53" i="13"/>
  <c r="F53" i="13"/>
  <c r="C53" i="13"/>
  <c r="G53" i="13"/>
  <c r="H53" i="13"/>
  <c r="E53" i="13"/>
  <c r="A52" i="14" a="1"/>
  <c r="A52" i="14" s="1"/>
  <c r="A54" i="13" a="1"/>
  <c r="A54" i="13" s="1"/>
  <c r="B52" i="14" l="1"/>
  <c r="C52" i="14"/>
  <c r="D52" i="14"/>
  <c r="F52" i="14"/>
  <c r="H52" i="14"/>
  <c r="E52" i="14"/>
  <c r="G52" i="14"/>
  <c r="B54" i="13"/>
  <c r="C54" i="13"/>
  <c r="D54" i="13"/>
  <c r="F54" i="13"/>
  <c r="H54" i="13"/>
  <c r="E54" i="13"/>
  <c r="G54" i="13"/>
  <c r="A53" i="14" a="1"/>
  <c r="A53" i="14" s="1"/>
  <c r="A55" i="13" a="1"/>
  <c r="A55" i="13" s="1"/>
  <c r="B53" i="14" l="1"/>
  <c r="C53" i="14"/>
  <c r="D53" i="14"/>
  <c r="G53" i="14"/>
  <c r="H53" i="14"/>
  <c r="F53" i="14"/>
  <c r="E53" i="14"/>
  <c r="B55" i="13"/>
  <c r="C55" i="13"/>
  <c r="D55" i="13"/>
  <c r="F55" i="13"/>
  <c r="G55" i="13"/>
  <c r="H55" i="13"/>
  <c r="E55" i="13"/>
  <c r="A54" i="14" a="1"/>
  <c r="A54" i="14" s="1"/>
  <c r="A56" i="13" a="1"/>
  <c r="A56" i="13" s="1"/>
  <c r="B54" i="14" l="1"/>
  <c r="D54" i="14"/>
  <c r="C54" i="14"/>
  <c r="F54" i="14"/>
  <c r="H54" i="14"/>
  <c r="E54" i="14"/>
  <c r="G54" i="14"/>
  <c r="C56" i="13"/>
  <c r="D56" i="13"/>
  <c r="B56" i="13"/>
  <c r="F56" i="13"/>
  <c r="H56" i="13"/>
  <c r="E56" i="13"/>
  <c r="G56" i="13"/>
  <c r="A55" i="14" a="1"/>
  <c r="A55" i="14" s="1"/>
  <c r="A57" i="13" a="1"/>
  <c r="A57" i="13" s="1"/>
  <c r="B55" i="14" l="1"/>
  <c r="C55" i="14"/>
  <c r="D55" i="14"/>
  <c r="G55" i="14"/>
  <c r="H55" i="14"/>
  <c r="E55" i="14"/>
  <c r="F55" i="14"/>
  <c r="B57" i="13"/>
  <c r="C57" i="13"/>
  <c r="D57" i="13"/>
  <c r="F57" i="13"/>
  <c r="G57" i="13"/>
  <c r="H57" i="13"/>
  <c r="E57" i="13"/>
  <c r="A56" i="14" a="1"/>
  <c r="A56" i="14" s="1"/>
  <c r="A58" i="13" a="1"/>
  <c r="A58" i="13" s="1"/>
  <c r="D56" i="14" l="1"/>
  <c r="B56" i="14"/>
  <c r="C56" i="14"/>
  <c r="F56" i="14"/>
  <c r="H56" i="14"/>
  <c r="E56" i="14"/>
  <c r="G56" i="14"/>
  <c r="B58" i="13"/>
  <c r="C58" i="13"/>
  <c r="D58" i="13"/>
  <c r="F58" i="13"/>
  <c r="H58" i="13"/>
  <c r="E58" i="13"/>
  <c r="G58" i="13"/>
  <c r="A57" i="14" a="1"/>
  <c r="A57" i="14" s="1"/>
  <c r="A59" i="13" a="1"/>
  <c r="A59" i="13" s="1"/>
  <c r="C57" i="14" l="1"/>
  <c r="D57" i="14"/>
  <c r="G57" i="14"/>
  <c r="H57" i="14"/>
  <c r="B57" i="14"/>
  <c r="F57" i="14"/>
  <c r="E57" i="14"/>
  <c r="B59" i="13"/>
  <c r="C59" i="13"/>
  <c r="D59" i="13"/>
  <c r="F59" i="13"/>
  <c r="G59" i="13"/>
  <c r="H59" i="13"/>
  <c r="E59" i="13"/>
  <c r="A58" i="14" a="1"/>
  <c r="A58" i="14" s="1"/>
  <c r="A60" i="13" a="1"/>
  <c r="A60" i="13" s="1"/>
  <c r="B58" i="14" l="1"/>
  <c r="C58" i="14"/>
  <c r="D58" i="14"/>
  <c r="F58" i="14"/>
  <c r="H58" i="14"/>
  <c r="E58" i="14"/>
  <c r="G58" i="14"/>
  <c r="B60" i="13"/>
  <c r="C60" i="13"/>
  <c r="D60" i="13"/>
  <c r="F60" i="13"/>
  <c r="H60" i="13"/>
  <c r="E60" i="13"/>
  <c r="G60" i="13"/>
  <c r="A59" i="14" a="1"/>
  <c r="A59" i="14" s="1"/>
  <c r="A61" i="13" a="1"/>
  <c r="A61" i="13" s="1"/>
  <c r="C59" i="14" l="1"/>
  <c r="B59" i="14"/>
  <c r="G59" i="14"/>
  <c r="H59" i="14"/>
  <c r="D59" i="14"/>
  <c r="E59" i="14"/>
  <c r="F59" i="14"/>
  <c r="D61" i="13"/>
  <c r="B61" i="13"/>
  <c r="F61" i="13"/>
  <c r="H61" i="13"/>
  <c r="C61" i="13"/>
  <c r="E61" i="13"/>
  <c r="G61" i="13"/>
  <c r="A60" i="14" a="1"/>
  <c r="A60" i="14" s="1"/>
  <c r="A62" i="13" a="1"/>
  <c r="A62" i="13" s="1"/>
  <c r="B60" i="14" l="1"/>
  <c r="C60" i="14"/>
  <c r="D60" i="14"/>
  <c r="F60" i="14"/>
  <c r="E60" i="14"/>
  <c r="G60" i="14"/>
  <c r="H60" i="14"/>
  <c r="B62" i="13"/>
  <c r="C62" i="13"/>
  <c r="D62" i="13"/>
  <c r="F62" i="13"/>
  <c r="H62" i="13"/>
  <c r="E62" i="13"/>
  <c r="G62" i="13"/>
  <c r="A61" i="14" a="1"/>
  <c r="A61" i="14" s="1"/>
  <c r="A63" i="13" a="1"/>
  <c r="A63" i="13" s="1"/>
  <c r="B61" i="14" l="1"/>
  <c r="C61" i="14"/>
  <c r="D61" i="14"/>
  <c r="G61" i="14"/>
  <c r="H61" i="14"/>
  <c r="E61" i="14"/>
  <c r="F61" i="14"/>
  <c r="B63" i="13"/>
  <c r="C63" i="13"/>
  <c r="D63" i="13"/>
  <c r="F63" i="13"/>
  <c r="H63" i="13"/>
  <c r="E63" i="13"/>
  <c r="G63" i="13"/>
  <c r="A62" i="14" a="1"/>
  <c r="A62" i="14" s="1"/>
  <c r="A64" i="13" a="1"/>
  <c r="A64" i="13" s="1"/>
  <c r="B62" i="14" l="1"/>
  <c r="D62" i="14"/>
  <c r="F62" i="14"/>
  <c r="C62" i="14"/>
  <c r="E62" i="14"/>
  <c r="G62" i="14"/>
  <c r="H62" i="14"/>
  <c r="C64" i="13"/>
  <c r="D64" i="13"/>
  <c r="F64" i="13"/>
  <c r="B64" i="13"/>
  <c r="H64" i="13"/>
  <c r="E64" i="13"/>
  <c r="G64" i="13"/>
  <c r="A63" i="14" a="1"/>
  <c r="A63" i="14" s="1"/>
  <c r="A65" i="13" a="1"/>
  <c r="A65" i="13" s="1"/>
  <c r="B63" i="14" l="1"/>
  <c r="C63" i="14"/>
  <c r="D63" i="14"/>
  <c r="G63" i="14"/>
  <c r="H63" i="14"/>
  <c r="E63" i="14"/>
  <c r="F63" i="14"/>
  <c r="B65" i="13"/>
  <c r="C65" i="13"/>
  <c r="D65" i="13"/>
  <c r="F65" i="13"/>
  <c r="H65" i="13"/>
  <c r="E65" i="13"/>
  <c r="G65" i="13"/>
  <c r="A64" i="14" a="1"/>
  <c r="A64" i="14" s="1"/>
  <c r="A66" i="13" a="1"/>
  <c r="A66" i="13" s="1"/>
  <c r="D64" i="14" l="1"/>
  <c r="B64" i="14"/>
  <c r="C64" i="14"/>
  <c r="F64" i="14"/>
  <c r="G64" i="14"/>
  <c r="H64" i="14"/>
  <c r="E64" i="14"/>
  <c r="B66" i="13"/>
  <c r="C66" i="13"/>
  <c r="F66" i="13"/>
  <c r="D66" i="13"/>
  <c r="H66" i="13"/>
  <c r="E66" i="13"/>
  <c r="G66" i="13"/>
  <c r="A65" i="14" a="1"/>
  <c r="A65" i="14" s="1"/>
  <c r="A67" i="13" a="1"/>
  <c r="A67" i="13" s="1"/>
  <c r="C65" i="14" l="1"/>
  <c r="D65" i="14"/>
  <c r="G65" i="14"/>
  <c r="H65" i="14"/>
  <c r="B65" i="14"/>
  <c r="E65" i="14"/>
  <c r="F65" i="14"/>
  <c r="B67" i="13"/>
  <c r="C67" i="13"/>
  <c r="D67" i="13"/>
  <c r="F67" i="13"/>
  <c r="H67" i="13"/>
  <c r="E67" i="13"/>
  <c r="G67" i="13"/>
  <c r="A66" i="14" a="1"/>
  <c r="A66" i="14" s="1"/>
  <c r="A68" i="13" a="1"/>
  <c r="A68" i="13" s="1"/>
  <c r="B66" i="14" l="1"/>
  <c r="C66" i="14"/>
  <c r="D66" i="14"/>
  <c r="E66" i="14"/>
  <c r="F66" i="14"/>
  <c r="G66" i="14"/>
  <c r="H66" i="14"/>
  <c r="B68" i="13"/>
  <c r="C68" i="13"/>
  <c r="D68" i="13"/>
  <c r="F68" i="13"/>
  <c r="H68" i="13"/>
  <c r="E68" i="13"/>
  <c r="G68" i="13"/>
  <c r="A67" i="14" a="1"/>
  <c r="A67" i="14" s="1"/>
  <c r="A69" i="13" a="1"/>
  <c r="A69" i="13" s="1"/>
  <c r="C67" i="14" l="1"/>
  <c r="B67" i="14"/>
  <c r="G67" i="14"/>
  <c r="H67" i="14"/>
  <c r="D67" i="14"/>
  <c r="E67" i="14"/>
  <c r="F67" i="14"/>
  <c r="D69" i="13"/>
  <c r="B69" i="13"/>
  <c r="C69" i="13"/>
  <c r="F69" i="13"/>
  <c r="H69" i="13"/>
  <c r="E69" i="13"/>
  <c r="G69" i="13"/>
  <c r="A68" i="14" a="1"/>
  <c r="A68" i="14" s="1"/>
  <c r="A70" i="13" a="1"/>
  <c r="A70" i="13" s="1"/>
  <c r="B68" i="14" l="1"/>
  <c r="C68" i="14"/>
  <c r="D68" i="14"/>
  <c r="E68" i="14"/>
  <c r="F68" i="14"/>
  <c r="G68" i="14"/>
  <c r="H68" i="14"/>
  <c r="B70" i="13"/>
  <c r="C70" i="13"/>
  <c r="D70" i="13"/>
  <c r="F70" i="13"/>
  <c r="H70" i="13"/>
  <c r="E70" i="13"/>
  <c r="G70" i="13"/>
  <c r="A69" i="14" a="1"/>
  <c r="A69" i="14" s="1"/>
  <c r="A71" i="13" a="1"/>
  <c r="A71" i="13" s="1"/>
  <c r="B69" i="14" l="1"/>
  <c r="C69" i="14"/>
  <c r="D69" i="14"/>
  <c r="G69" i="14"/>
  <c r="H69" i="14"/>
  <c r="E69" i="14"/>
  <c r="F69" i="14"/>
  <c r="B71" i="13"/>
  <c r="C71" i="13"/>
  <c r="D71" i="13"/>
  <c r="F71" i="13"/>
  <c r="H71" i="13"/>
  <c r="E71" i="13"/>
  <c r="G71" i="13"/>
  <c r="A70" i="14" a="1"/>
  <c r="A70" i="14" s="1"/>
  <c r="A72" i="13" a="1"/>
  <c r="A72" i="13" s="1"/>
  <c r="B70" i="14" l="1"/>
  <c r="D70" i="14"/>
  <c r="E70" i="14"/>
  <c r="F70" i="14"/>
  <c r="C70" i="14"/>
  <c r="G70" i="14"/>
  <c r="H70" i="14"/>
  <c r="C72" i="13"/>
  <c r="D72" i="13"/>
  <c r="B72" i="13"/>
  <c r="F72" i="13"/>
  <c r="H72" i="13"/>
  <c r="E72" i="13"/>
  <c r="G72" i="13"/>
  <c r="A71" i="14" a="1"/>
  <c r="A71" i="14" s="1"/>
  <c r="A73" i="13" a="1"/>
  <c r="A73" i="13" s="1"/>
  <c r="B71" i="14" l="1"/>
  <c r="C71" i="14"/>
  <c r="D71" i="14"/>
  <c r="G71" i="14"/>
  <c r="H71" i="14"/>
  <c r="E71" i="14"/>
  <c r="F71" i="14"/>
  <c r="B73" i="13"/>
  <c r="C73" i="13"/>
  <c r="D73" i="13"/>
  <c r="F73" i="13"/>
  <c r="H73" i="13"/>
  <c r="E73" i="13"/>
  <c r="G73" i="13"/>
  <c r="A72" i="14" a="1"/>
  <c r="A72" i="14" s="1"/>
  <c r="A74" i="13" a="1"/>
  <c r="A74" i="13" s="1"/>
  <c r="D72" i="14" l="1"/>
  <c r="B72" i="14"/>
  <c r="C72" i="14"/>
  <c r="G72" i="14"/>
  <c r="H72" i="14"/>
  <c r="E72" i="14"/>
  <c r="F72" i="14"/>
  <c r="B74" i="13"/>
  <c r="C74" i="13"/>
  <c r="D74" i="13"/>
  <c r="F74" i="13"/>
  <c r="H74" i="13"/>
  <c r="E74" i="13"/>
  <c r="G74" i="13"/>
  <c r="A73" i="14" a="1"/>
  <c r="A73" i="14" s="1"/>
  <c r="A75" i="13" a="1"/>
  <c r="A75" i="13" s="1"/>
  <c r="C73" i="14" l="1"/>
  <c r="D73" i="14"/>
  <c r="B73" i="14"/>
  <c r="G73" i="14"/>
  <c r="H73" i="14"/>
  <c r="E73" i="14"/>
  <c r="F73" i="14"/>
  <c r="B75" i="13"/>
  <c r="C75" i="13"/>
  <c r="D75" i="13"/>
  <c r="F75" i="13"/>
  <c r="H75" i="13"/>
  <c r="E75" i="13"/>
  <c r="G75" i="13"/>
  <c r="A74" i="14" a="1"/>
  <c r="A74" i="14" s="1"/>
  <c r="A76" i="13" a="1"/>
  <c r="A76" i="13" s="1"/>
  <c r="B74" i="14" l="1"/>
  <c r="C74" i="14"/>
  <c r="D74" i="14"/>
  <c r="E74" i="14"/>
  <c r="F74" i="14"/>
  <c r="G74" i="14"/>
  <c r="H74" i="14"/>
  <c r="B76" i="13"/>
  <c r="C76" i="13"/>
  <c r="D76" i="13"/>
  <c r="F76" i="13"/>
  <c r="H76" i="13"/>
  <c r="E76" i="13"/>
  <c r="G76" i="13"/>
  <c r="A75" i="14" a="1"/>
  <c r="A75" i="14" s="1"/>
  <c r="A77" i="13" a="1"/>
  <c r="A77" i="13" s="1"/>
  <c r="C75" i="14" l="1"/>
  <c r="B75" i="14"/>
  <c r="G75" i="14"/>
  <c r="D75" i="14"/>
  <c r="H75" i="14"/>
  <c r="E75" i="14"/>
  <c r="F75" i="14"/>
  <c r="D77" i="13"/>
  <c r="B77" i="13"/>
  <c r="F77" i="13"/>
  <c r="C77" i="13"/>
  <c r="H77" i="13"/>
  <c r="E77" i="13"/>
  <c r="G77" i="13"/>
  <c r="A76" i="14" a="1"/>
  <c r="A76" i="14" s="1"/>
  <c r="A78" i="13" a="1"/>
  <c r="A78" i="13" s="1"/>
  <c r="B76" i="14" l="1"/>
  <c r="C76" i="14"/>
  <c r="D76" i="14"/>
  <c r="E76" i="14"/>
  <c r="F76" i="14"/>
  <c r="G76" i="14"/>
  <c r="H76" i="14"/>
  <c r="B78" i="13"/>
  <c r="C78" i="13"/>
  <c r="D78" i="13"/>
  <c r="F78" i="13"/>
  <c r="H78" i="13"/>
  <c r="E78" i="13"/>
  <c r="G78" i="13"/>
  <c r="A77" i="14" a="1"/>
  <c r="A77" i="14" s="1"/>
  <c r="A79" i="13" a="1"/>
  <c r="A79" i="13" s="1"/>
  <c r="B77" i="14" l="1"/>
  <c r="C77" i="14"/>
  <c r="D77" i="14"/>
  <c r="G77" i="14"/>
  <c r="H77" i="14"/>
  <c r="E77" i="14"/>
  <c r="F77" i="14"/>
  <c r="B79" i="13"/>
  <c r="C79" i="13"/>
  <c r="D79" i="13"/>
  <c r="F79" i="13"/>
  <c r="H79" i="13"/>
  <c r="E79" i="13"/>
  <c r="G79" i="13"/>
  <c r="A78" i="14" a="1"/>
  <c r="A78" i="14" s="1"/>
  <c r="A80" i="13" a="1"/>
  <c r="A80" i="13" s="1"/>
  <c r="B78" i="14" l="1"/>
  <c r="D78" i="14"/>
  <c r="C78" i="14"/>
  <c r="E78" i="14"/>
  <c r="F78" i="14"/>
  <c r="G78" i="14"/>
  <c r="H78" i="14"/>
  <c r="C80" i="13"/>
  <c r="D80" i="13"/>
  <c r="B80" i="13"/>
  <c r="F80" i="13"/>
  <c r="H80" i="13"/>
  <c r="E80" i="13"/>
  <c r="G80" i="13"/>
  <c r="A79" i="14" a="1"/>
  <c r="A79" i="14" s="1"/>
  <c r="A81" i="13" a="1"/>
  <c r="A81" i="13" s="1"/>
  <c r="B79" i="14" l="1"/>
  <c r="C79" i="14"/>
  <c r="D79" i="14"/>
  <c r="G79" i="14"/>
  <c r="E79" i="14"/>
  <c r="F79" i="14"/>
  <c r="H79" i="14"/>
  <c r="B81" i="13"/>
  <c r="C81" i="13"/>
  <c r="D81" i="13"/>
  <c r="F81" i="13"/>
  <c r="H81" i="13"/>
  <c r="E81" i="13"/>
  <c r="G81" i="13"/>
  <c r="A80" i="14" a="1"/>
  <c r="A80" i="14" s="1"/>
  <c r="A82" i="13" a="1"/>
  <c r="A82" i="13" s="1"/>
  <c r="D80" i="14" l="1"/>
  <c r="B80" i="14"/>
  <c r="C80" i="14"/>
  <c r="F80" i="14"/>
  <c r="G80" i="14"/>
  <c r="H80" i="14"/>
  <c r="E80" i="14"/>
  <c r="B82" i="13"/>
  <c r="C82" i="13"/>
  <c r="D82" i="13"/>
  <c r="F82" i="13"/>
  <c r="H82" i="13"/>
  <c r="E82" i="13"/>
  <c r="G82" i="13"/>
  <c r="A81" i="14" a="1"/>
  <c r="A81" i="14" s="1"/>
  <c r="A83" i="13" a="1"/>
  <c r="A83" i="13" s="1"/>
  <c r="C81" i="14" l="1"/>
  <c r="D81" i="14"/>
  <c r="G81" i="14"/>
  <c r="B81" i="14"/>
  <c r="E81" i="14"/>
  <c r="F81" i="14"/>
  <c r="H81" i="14"/>
  <c r="B83" i="13"/>
  <c r="C83" i="13"/>
  <c r="D83" i="13"/>
  <c r="F83" i="13"/>
  <c r="H83" i="13"/>
  <c r="E83" i="13"/>
  <c r="G83" i="13"/>
  <c r="A82" i="14" a="1"/>
  <c r="A82" i="14" s="1"/>
  <c r="A84" i="13" a="1"/>
  <c r="A84" i="13" s="1"/>
  <c r="B82" i="14" l="1"/>
  <c r="C82" i="14"/>
  <c r="D82" i="14"/>
  <c r="G82" i="14"/>
  <c r="H82" i="14"/>
  <c r="E82" i="14"/>
  <c r="F82" i="14"/>
  <c r="B84" i="13"/>
  <c r="C84" i="13"/>
  <c r="D84" i="13"/>
  <c r="F84" i="13"/>
  <c r="H84" i="13"/>
  <c r="E84" i="13"/>
  <c r="G84" i="13"/>
  <c r="A83" i="14" a="1"/>
  <c r="A83" i="14" s="1"/>
  <c r="A85" i="13" a="1"/>
  <c r="A85" i="13" s="1"/>
  <c r="C83" i="14" l="1"/>
  <c r="B83" i="14"/>
  <c r="G83" i="14"/>
  <c r="D83" i="14"/>
  <c r="E83" i="14"/>
  <c r="F83" i="14"/>
  <c r="H83" i="14"/>
  <c r="D85" i="13"/>
  <c r="B85" i="13"/>
  <c r="F85" i="13"/>
  <c r="H85" i="13"/>
  <c r="C85" i="13"/>
  <c r="E85" i="13"/>
  <c r="G85" i="13"/>
  <c r="A84" i="14" a="1"/>
  <c r="A84" i="14" s="1"/>
  <c r="A86" i="13" a="1"/>
  <c r="A86" i="13" s="1"/>
  <c r="B84" i="14" l="1"/>
  <c r="C84" i="14"/>
  <c r="D84" i="14"/>
  <c r="H84" i="14"/>
  <c r="E84" i="14"/>
  <c r="F84" i="14"/>
  <c r="G84" i="14"/>
  <c r="B86" i="13"/>
  <c r="C86" i="13"/>
  <c r="D86" i="13"/>
  <c r="F86" i="13"/>
  <c r="H86" i="13"/>
  <c r="E86" i="13"/>
  <c r="G86" i="13"/>
  <c r="A85" i="14" a="1"/>
  <c r="A85" i="14" s="1"/>
  <c r="A87" i="13" a="1"/>
  <c r="A87" i="13" s="1"/>
  <c r="B85" i="14" l="1"/>
  <c r="C85" i="14"/>
  <c r="D85" i="14"/>
  <c r="G85" i="14"/>
  <c r="E85" i="14"/>
  <c r="F85" i="14"/>
  <c r="H85" i="14"/>
  <c r="B87" i="13"/>
  <c r="C87" i="13"/>
  <c r="D87" i="13"/>
  <c r="F87" i="13"/>
  <c r="H87" i="13"/>
  <c r="E87" i="13"/>
  <c r="G87" i="13"/>
  <c r="A86" i="14" a="1"/>
  <c r="A86" i="14" s="1"/>
  <c r="A88" i="13" a="1"/>
  <c r="A88" i="13" s="1"/>
  <c r="B86" i="14" l="1"/>
  <c r="D86" i="14"/>
  <c r="C86" i="14"/>
  <c r="E86" i="14"/>
  <c r="F86" i="14"/>
  <c r="G86" i="14"/>
  <c r="H86" i="14"/>
  <c r="C88" i="13"/>
  <c r="D88" i="13"/>
  <c r="F88" i="13"/>
  <c r="B88" i="13"/>
  <c r="H88" i="13"/>
  <c r="E88" i="13"/>
  <c r="G88" i="13"/>
  <c r="A87" i="14" a="1"/>
  <c r="A87" i="14" s="1"/>
  <c r="A89" i="13" a="1"/>
  <c r="A89" i="13" s="1"/>
  <c r="B87" i="14" l="1"/>
  <c r="C87" i="14"/>
  <c r="D87" i="14"/>
  <c r="G87" i="14"/>
  <c r="E87" i="14"/>
  <c r="F87" i="14"/>
  <c r="H87" i="14"/>
  <c r="B89" i="13"/>
  <c r="C89" i="13"/>
  <c r="D89" i="13"/>
  <c r="F89" i="13"/>
  <c r="H89" i="13"/>
  <c r="E89" i="13"/>
  <c r="G89" i="13"/>
  <c r="A88" i="14" a="1"/>
  <c r="A88" i="14" s="1"/>
  <c r="A90" i="13" a="1"/>
  <c r="A90" i="13" s="1"/>
  <c r="D88" i="14" l="1"/>
  <c r="B88" i="14"/>
  <c r="C88" i="14"/>
  <c r="E88" i="14"/>
  <c r="F88" i="14"/>
  <c r="G88" i="14"/>
  <c r="H88" i="14"/>
  <c r="B90" i="13"/>
  <c r="C90" i="13"/>
  <c r="D90" i="13"/>
  <c r="F90" i="13"/>
  <c r="H90" i="13"/>
  <c r="E90" i="13"/>
  <c r="G90" i="13"/>
  <c r="A89" i="14" a="1"/>
  <c r="A89" i="14" s="1"/>
  <c r="A91" i="13" a="1"/>
  <c r="A91" i="13" s="1"/>
  <c r="C89" i="14" l="1"/>
  <c r="D89" i="14"/>
  <c r="G89" i="14"/>
  <c r="B89" i="14"/>
  <c r="F89" i="14"/>
  <c r="H89" i="14"/>
  <c r="E89" i="14"/>
  <c r="B91" i="13"/>
  <c r="C91" i="13"/>
  <c r="D91" i="13"/>
  <c r="F91" i="13"/>
  <c r="H91" i="13"/>
  <c r="E91" i="13"/>
  <c r="G91" i="13"/>
  <c r="A90" i="14" a="1"/>
  <c r="A90" i="14" s="1"/>
  <c r="A92" i="13" a="1"/>
  <c r="A92" i="13" s="1"/>
  <c r="B90" i="14" l="1"/>
  <c r="C90" i="14"/>
  <c r="D90" i="14"/>
  <c r="E90" i="14"/>
  <c r="F90" i="14"/>
  <c r="G90" i="14"/>
  <c r="H90" i="14"/>
  <c r="B92" i="13"/>
  <c r="C92" i="13"/>
  <c r="D92" i="13"/>
  <c r="H92" i="13"/>
  <c r="G92" i="13"/>
  <c r="E92" i="13"/>
  <c r="F92" i="13"/>
  <c r="A91" i="14" a="1"/>
  <c r="A91" i="14" s="1"/>
  <c r="A93" i="13" a="1"/>
  <c r="A93" i="13" s="1"/>
  <c r="C91" i="14" l="1"/>
  <c r="B91" i="14"/>
  <c r="G91" i="14"/>
  <c r="H91" i="14"/>
  <c r="D91" i="14"/>
  <c r="E91" i="14"/>
  <c r="F91" i="14"/>
  <c r="D93" i="13"/>
  <c r="B93" i="13"/>
  <c r="C93" i="13"/>
  <c r="F93" i="13"/>
  <c r="H93" i="13"/>
  <c r="E93" i="13"/>
  <c r="G93" i="13"/>
  <c r="A92" i="14" a="1"/>
  <c r="A92" i="14" s="1"/>
  <c r="A94" i="13" a="1"/>
  <c r="A94" i="13" s="1"/>
  <c r="B92" i="14" l="1"/>
  <c r="C92" i="14"/>
  <c r="D92" i="14"/>
  <c r="E92" i="14"/>
  <c r="F92" i="14"/>
  <c r="G92" i="14"/>
  <c r="H92" i="14"/>
  <c r="B94" i="13"/>
  <c r="C94" i="13"/>
  <c r="D94" i="13"/>
  <c r="H94" i="13"/>
  <c r="E94" i="13"/>
  <c r="F94" i="13"/>
  <c r="G94" i="13"/>
  <c r="A93" i="14" a="1"/>
  <c r="A93" i="14" s="1"/>
  <c r="A95" i="13" a="1"/>
  <c r="A95" i="13" s="1"/>
  <c r="B93" i="14" l="1"/>
  <c r="C93" i="14"/>
  <c r="D93" i="14"/>
  <c r="G93" i="14"/>
  <c r="E93" i="14"/>
  <c r="F93" i="14"/>
  <c r="H93" i="14"/>
  <c r="B95" i="13"/>
  <c r="C95" i="13"/>
  <c r="D95" i="13"/>
  <c r="F95" i="13"/>
  <c r="H95" i="13"/>
  <c r="E95" i="13"/>
  <c r="G95" i="13"/>
  <c r="A94" i="14" a="1"/>
  <c r="A94" i="14" s="1"/>
  <c r="A96" i="13" a="1"/>
  <c r="A96" i="13" s="1"/>
  <c r="B94" i="14" l="1"/>
  <c r="D94" i="14"/>
  <c r="C94" i="14"/>
  <c r="E94" i="14"/>
  <c r="F94" i="14"/>
  <c r="G94" i="14"/>
  <c r="H94" i="14"/>
  <c r="C96" i="13"/>
  <c r="D96" i="13"/>
  <c r="B96" i="13"/>
  <c r="H96" i="13"/>
  <c r="E96" i="13"/>
  <c r="F96" i="13"/>
  <c r="G96" i="13"/>
  <c r="A95" i="14" a="1"/>
  <c r="A95" i="14" s="1"/>
  <c r="A97" i="13" a="1"/>
  <c r="A97" i="13" s="1"/>
  <c r="B95" i="14" l="1"/>
  <c r="C95" i="14"/>
  <c r="D95" i="14"/>
  <c r="G95" i="14"/>
  <c r="E95" i="14"/>
  <c r="F95" i="14"/>
  <c r="H95" i="14"/>
  <c r="B97" i="13"/>
  <c r="C97" i="13"/>
  <c r="D97" i="13"/>
  <c r="F97" i="13"/>
  <c r="H97" i="13"/>
  <c r="E97" i="13"/>
  <c r="G97" i="13"/>
  <c r="A96" i="14" a="1"/>
  <c r="A96" i="14" s="1"/>
  <c r="A98" i="13" a="1"/>
  <c r="A98" i="13" s="1"/>
  <c r="D96" i="14" l="1"/>
  <c r="B96" i="14"/>
  <c r="C96" i="14"/>
  <c r="F96" i="14"/>
  <c r="G96" i="14"/>
  <c r="H96" i="14"/>
  <c r="E96" i="14"/>
  <c r="B98" i="13"/>
  <c r="C98" i="13"/>
  <c r="D98" i="13"/>
  <c r="H98" i="13"/>
  <c r="E98" i="13"/>
  <c r="F98" i="13"/>
  <c r="G98" i="13"/>
  <c r="A97" i="14" a="1"/>
  <c r="A97" i="14" s="1"/>
  <c r="A99" i="13" a="1"/>
  <c r="A99" i="13" s="1"/>
  <c r="C97" i="14" l="1"/>
  <c r="D97" i="14"/>
  <c r="G97" i="14"/>
  <c r="B97" i="14"/>
  <c r="E97" i="14"/>
  <c r="F97" i="14"/>
  <c r="H97" i="14"/>
  <c r="B99" i="13"/>
  <c r="C99" i="13"/>
  <c r="D99" i="13"/>
  <c r="F99" i="13"/>
  <c r="H99" i="13"/>
  <c r="E99" i="13"/>
  <c r="G99" i="13"/>
  <c r="A98" i="14" a="1"/>
  <c r="A98" i="14" s="1"/>
  <c r="A100" i="13" a="1"/>
  <c r="A100" i="13" s="1"/>
  <c r="B98" i="14" l="1"/>
  <c r="C98" i="14"/>
  <c r="D98" i="14"/>
  <c r="G98" i="14"/>
  <c r="H98" i="14"/>
  <c r="E98" i="14"/>
  <c r="F98" i="14"/>
  <c r="B100" i="13"/>
  <c r="C100" i="13"/>
  <c r="D100" i="13"/>
  <c r="H100" i="13"/>
  <c r="E100" i="13"/>
  <c r="F100" i="13"/>
  <c r="G100" i="13"/>
  <c r="A99" i="14" a="1"/>
  <c r="A99" i="14" s="1"/>
  <c r="A101" i="13" a="1"/>
  <c r="A101" i="13" s="1"/>
  <c r="C99" i="14" l="1"/>
  <c r="B99" i="14"/>
  <c r="G99" i="14"/>
  <c r="D99" i="14"/>
  <c r="E99" i="14"/>
  <c r="F99" i="14"/>
  <c r="H99" i="14"/>
  <c r="D101" i="13"/>
  <c r="B101" i="13"/>
  <c r="F101" i="13"/>
  <c r="H101" i="13"/>
  <c r="C101" i="13"/>
  <c r="E101" i="13"/>
  <c r="G101" i="13"/>
  <c r="A100" i="14" a="1"/>
  <c r="A100" i="14" s="1"/>
  <c r="A102" i="13" a="1"/>
  <c r="A102" i="13" s="1"/>
  <c r="B100" i="14" l="1"/>
  <c r="C100" i="14"/>
  <c r="D100" i="14"/>
  <c r="H100" i="14"/>
  <c r="E100" i="14"/>
  <c r="F100" i="14"/>
  <c r="G100" i="14"/>
  <c r="B102" i="13"/>
  <c r="C102" i="13"/>
  <c r="D102" i="13"/>
  <c r="H102" i="13"/>
  <c r="F102" i="13"/>
  <c r="G102" i="13"/>
  <c r="E102" i="13"/>
  <c r="A101" i="14" a="1"/>
  <c r="A101" i="14" s="1"/>
  <c r="A103" i="13" a="1"/>
  <c r="A103" i="13" s="1"/>
  <c r="B101" i="14" l="1"/>
  <c r="C101" i="14"/>
  <c r="D101" i="14"/>
  <c r="G101" i="14"/>
  <c r="E101" i="14"/>
  <c r="F101" i="14"/>
  <c r="H101" i="14"/>
  <c r="B103" i="13"/>
  <c r="C103" i="13"/>
  <c r="D103" i="13"/>
  <c r="F103" i="13"/>
  <c r="H103" i="13"/>
  <c r="E103" i="13"/>
  <c r="G103" i="13"/>
  <c r="A102" i="14" a="1"/>
  <c r="A102" i="14" s="1"/>
  <c r="A104" i="13" a="1"/>
  <c r="A104" i="13" s="1"/>
  <c r="B102" i="14" l="1"/>
  <c r="D102" i="14"/>
  <c r="C102" i="14"/>
  <c r="E102" i="14"/>
  <c r="F102" i="14"/>
  <c r="G102" i="14"/>
  <c r="H102" i="14"/>
  <c r="C104" i="13"/>
  <c r="D104" i="13"/>
  <c r="B104" i="13"/>
  <c r="H104" i="13"/>
  <c r="E104" i="13"/>
  <c r="F104" i="13"/>
  <c r="G104" i="13"/>
  <c r="A103" i="14" a="1"/>
  <c r="A103" i="14" s="1"/>
  <c r="A105" i="13" a="1"/>
  <c r="A105" i="13" s="1"/>
  <c r="B103" i="14" l="1"/>
  <c r="C103" i="14"/>
  <c r="D103" i="14"/>
  <c r="G103" i="14"/>
  <c r="E103" i="14"/>
  <c r="F103" i="14"/>
  <c r="H103" i="14"/>
  <c r="B105" i="13"/>
  <c r="C105" i="13"/>
  <c r="D105" i="13"/>
  <c r="F105" i="13"/>
  <c r="H105" i="13"/>
  <c r="G105" i="13"/>
  <c r="E105" i="13"/>
  <c r="A104" i="14" a="1"/>
  <c r="A104" i="14" s="1"/>
  <c r="A106" i="13" a="1"/>
  <c r="A106" i="13" s="1"/>
  <c r="B104" i="14" l="1"/>
  <c r="C104" i="14"/>
  <c r="D104" i="14"/>
  <c r="E104" i="14"/>
  <c r="F104" i="14"/>
  <c r="G104" i="14"/>
  <c r="H104" i="14"/>
  <c r="B106" i="13"/>
  <c r="C106" i="13"/>
  <c r="D106" i="13"/>
  <c r="H106" i="13"/>
  <c r="E106" i="13"/>
  <c r="F106" i="13"/>
  <c r="G106" i="13"/>
  <c r="A105" i="14" a="1"/>
  <c r="A105" i="14" s="1"/>
  <c r="A107" i="13" a="1"/>
  <c r="A107" i="13" s="1"/>
  <c r="C105" i="14" l="1"/>
  <c r="D105" i="14"/>
  <c r="G105" i="14"/>
  <c r="B105" i="14"/>
  <c r="F105" i="14"/>
  <c r="H105" i="14"/>
  <c r="E105" i="14"/>
  <c r="B107" i="13"/>
  <c r="C107" i="13"/>
  <c r="D107" i="13"/>
  <c r="F107" i="13"/>
  <c r="H107" i="13"/>
  <c r="E107" i="13"/>
  <c r="G107" i="13"/>
  <c r="A106" i="14" a="1"/>
  <c r="A106" i="14" s="1"/>
  <c r="A108" i="13" a="1"/>
  <c r="A108" i="13" s="1"/>
  <c r="B106" i="14" l="1"/>
  <c r="C106" i="14"/>
  <c r="D106" i="14"/>
  <c r="E106" i="14"/>
  <c r="F106" i="14"/>
  <c r="G106" i="14"/>
  <c r="H106" i="14"/>
  <c r="B108" i="13"/>
  <c r="C108" i="13"/>
  <c r="D108" i="13"/>
  <c r="H108" i="13"/>
  <c r="G108" i="13"/>
  <c r="E108" i="13"/>
  <c r="F108" i="13"/>
  <c r="A107" i="14" a="1"/>
  <c r="A107" i="14" s="1"/>
  <c r="A109" i="13" a="1"/>
  <c r="A109" i="13" s="1"/>
  <c r="B107" i="14" l="1"/>
  <c r="G107" i="14"/>
  <c r="C107" i="14"/>
  <c r="H107" i="14"/>
  <c r="D107" i="14"/>
  <c r="E107" i="14"/>
  <c r="F107" i="14"/>
  <c r="D109" i="13"/>
  <c r="B109" i="13"/>
  <c r="F109" i="13"/>
  <c r="H109" i="13"/>
  <c r="C109" i="13"/>
  <c r="E109" i="13"/>
  <c r="G109" i="13"/>
  <c r="A108" i="14" a="1"/>
  <c r="A108" i="14" s="1"/>
  <c r="A110" i="13" a="1"/>
  <c r="A110" i="13" s="1"/>
  <c r="B108" i="14" l="1"/>
  <c r="C108" i="14"/>
  <c r="D108" i="14"/>
  <c r="E108" i="14"/>
  <c r="F108" i="14"/>
  <c r="G108" i="14"/>
  <c r="H108" i="14"/>
  <c r="B110" i="13"/>
  <c r="C110" i="13"/>
  <c r="D110" i="13"/>
  <c r="H110" i="13"/>
  <c r="E110" i="13"/>
  <c r="F110" i="13"/>
  <c r="G110" i="13"/>
  <c r="A109" i="14" a="1"/>
  <c r="A109" i="14" s="1"/>
  <c r="A111" i="13" a="1"/>
  <c r="A111" i="13" s="1"/>
  <c r="B109" i="14" l="1"/>
  <c r="C109" i="14"/>
  <c r="D109" i="14"/>
  <c r="G109" i="14"/>
  <c r="E109" i="14"/>
  <c r="F109" i="14"/>
  <c r="H109" i="14"/>
  <c r="B111" i="13"/>
  <c r="C111" i="13"/>
  <c r="D111" i="13"/>
  <c r="F111" i="13"/>
  <c r="H111" i="13"/>
  <c r="E111" i="13"/>
  <c r="G111" i="13"/>
  <c r="A110" i="14" a="1"/>
  <c r="A110" i="14" s="1"/>
  <c r="A112" i="13" a="1"/>
  <c r="A112" i="13" s="1"/>
  <c r="D110" i="14" l="1"/>
  <c r="B110" i="14"/>
  <c r="C110" i="14"/>
  <c r="E110" i="14"/>
  <c r="F110" i="14"/>
  <c r="G110" i="14"/>
  <c r="H110" i="14"/>
  <c r="C112" i="13"/>
  <c r="D112" i="13"/>
  <c r="B112" i="13"/>
  <c r="H112" i="13"/>
  <c r="E112" i="13"/>
  <c r="F112" i="13"/>
  <c r="G112" i="13"/>
  <c r="A111" i="14" a="1"/>
  <c r="A111" i="14" s="1"/>
  <c r="A113" i="13" a="1"/>
  <c r="A113" i="13" s="1"/>
  <c r="B111" i="14" l="1"/>
  <c r="C111" i="14"/>
  <c r="D111" i="14"/>
  <c r="G111" i="14"/>
  <c r="E111" i="14"/>
  <c r="F111" i="14"/>
  <c r="H111" i="14"/>
  <c r="B113" i="13"/>
  <c r="C113" i="13"/>
  <c r="D113" i="13"/>
  <c r="F113" i="13"/>
  <c r="H113" i="13"/>
  <c r="E113" i="13"/>
  <c r="G113" i="13"/>
  <c r="A112" i="14" a="1"/>
  <c r="A112" i="14" s="1"/>
  <c r="A114" i="13" a="1"/>
  <c r="A114" i="13" s="1"/>
  <c r="B112" i="14" l="1"/>
  <c r="C112" i="14"/>
  <c r="D112" i="14"/>
  <c r="F112" i="14"/>
  <c r="G112" i="14"/>
  <c r="H112" i="14"/>
  <c r="E112" i="14"/>
  <c r="B114" i="13"/>
  <c r="C114" i="13"/>
  <c r="D114" i="13"/>
  <c r="H114" i="13"/>
  <c r="E114" i="13"/>
  <c r="F114" i="13"/>
  <c r="G114" i="13"/>
  <c r="A113" i="14" a="1"/>
  <c r="A113" i="14" s="1"/>
  <c r="A115" i="13" a="1"/>
  <c r="A115" i="13" s="1"/>
  <c r="C113" i="14" l="1"/>
  <c r="D113" i="14"/>
  <c r="G113" i="14"/>
  <c r="B113" i="14"/>
  <c r="E113" i="14"/>
  <c r="F113" i="14"/>
  <c r="H113" i="14"/>
  <c r="B115" i="13"/>
  <c r="C115" i="13"/>
  <c r="D115" i="13"/>
  <c r="F115" i="13"/>
  <c r="H115" i="13"/>
  <c r="E115" i="13"/>
  <c r="G115" i="13"/>
  <c r="A114" i="14" a="1"/>
  <c r="A114" i="14" s="1"/>
  <c r="A116" i="13" a="1"/>
  <c r="A116" i="13" s="1"/>
  <c r="B114" i="14" l="1"/>
  <c r="C114" i="14"/>
  <c r="D114" i="14"/>
  <c r="G114" i="14"/>
  <c r="H114" i="14"/>
  <c r="E114" i="14"/>
  <c r="F114" i="14"/>
  <c r="B116" i="13"/>
  <c r="C116" i="13"/>
  <c r="D116" i="13"/>
  <c r="H116" i="13"/>
  <c r="E116" i="13"/>
  <c r="F116" i="13"/>
  <c r="G116" i="13"/>
  <c r="A115" i="14" a="1"/>
  <c r="A115" i="14" s="1"/>
  <c r="A117" i="13" a="1"/>
  <c r="A117" i="13" s="1"/>
  <c r="B115" i="14" l="1"/>
  <c r="G115" i="14"/>
  <c r="C115" i="14"/>
  <c r="D115" i="14"/>
  <c r="E115" i="14"/>
  <c r="F115" i="14"/>
  <c r="H115" i="14"/>
  <c r="D117" i="13"/>
  <c r="B117" i="13"/>
  <c r="F117" i="13"/>
  <c r="C117" i="13"/>
  <c r="H117" i="13"/>
  <c r="E117" i="13"/>
  <c r="G117" i="13"/>
  <c r="A116" i="14" a="1"/>
  <c r="A116" i="14" s="1"/>
  <c r="A118" i="13" a="1"/>
  <c r="A118" i="13" s="1"/>
  <c r="B116" i="14" l="1"/>
  <c r="C116" i="14"/>
  <c r="D116" i="14"/>
  <c r="H116" i="14"/>
  <c r="E116" i="14"/>
  <c r="F116" i="14"/>
  <c r="G116" i="14"/>
  <c r="B118" i="13"/>
  <c r="C118" i="13"/>
  <c r="D118" i="13"/>
  <c r="H118" i="13"/>
  <c r="F118" i="13"/>
  <c r="G118" i="13"/>
  <c r="E118" i="13"/>
  <c r="A117" i="14" a="1"/>
  <c r="A117" i="14" s="1"/>
  <c r="A119" i="13" a="1"/>
  <c r="A119" i="13" s="1"/>
  <c r="B117" i="14" l="1"/>
  <c r="C117" i="14"/>
  <c r="D117" i="14"/>
  <c r="G117" i="14"/>
  <c r="E117" i="14"/>
  <c r="F117" i="14"/>
  <c r="H117" i="14"/>
  <c r="A120" i="13" a="1"/>
  <c r="A120" i="13" s="1"/>
  <c r="A121" i="13" s="1" a="1"/>
  <c r="A121" i="13" s="1"/>
  <c r="B119" i="13"/>
  <c r="C119" i="13"/>
  <c r="D119" i="13"/>
  <c r="H119" i="13"/>
  <c r="E119" i="13"/>
  <c r="F119" i="13"/>
  <c r="G119" i="13"/>
  <c r="A118" i="14" a="1"/>
  <c r="A118" i="14" s="1"/>
  <c r="D118" i="14" l="1"/>
  <c r="B118" i="14"/>
  <c r="E118" i="14"/>
  <c r="C118" i="14"/>
  <c r="F118" i="14"/>
  <c r="G118" i="14"/>
  <c r="H118" i="14"/>
  <c r="B121" i="13"/>
  <c r="C121" i="13"/>
  <c r="D121" i="13"/>
  <c r="H121" i="13"/>
  <c r="E121" i="13"/>
  <c r="F121" i="13"/>
  <c r="G121" i="13"/>
  <c r="C120" i="13"/>
  <c r="D120" i="13"/>
  <c r="B120" i="13"/>
  <c r="H120" i="13"/>
  <c r="E120" i="13"/>
  <c r="F120" i="13"/>
  <c r="G120" i="13"/>
  <c r="A119" i="14" a="1"/>
  <c r="A119" i="14" s="1"/>
  <c r="A122" i="13" a="1"/>
  <c r="A122" i="13" s="1"/>
  <c r="B119" i="14" l="1"/>
  <c r="C119" i="14"/>
  <c r="D119" i="14"/>
  <c r="G119" i="14"/>
  <c r="E119" i="14"/>
  <c r="F119" i="14"/>
  <c r="H119" i="14"/>
  <c r="B122" i="13"/>
  <c r="C122" i="13"/>
  <c r="D122" i="13"/>
  <c r="H122" i="13"/>
  <c r="E122" i="13"/>
  <c r="F122" i="13"/>
  <c r="G122" i="13"/>
  <c r="A120" i="14" a="1"/>
  <c r="A120" i="14" s="1"/>
  <c r="A123" i="13" a="1"/>
  <c r="A123" i="13" s="1"/>
  <c r="B120" i="14" l="1"/>
  <c r="C120" i="14"/>
  <c r="D120" i="14"/>
  <c r="E120" i="14"/>
  <c r="F120" i="14"/>
  <c r="G120" i="14"/>
  <c r="H120" i="14"/>
  <c r="B123" i="13"/>
  <c r="C123" i="13"/>
  <c r="D123" i="13"/>
  <c r="H123" i="13"/>
  <c r="G123" i="13"/>
  <c r="E123" i="13"/>
  <c r="F123" i="13"/>
  <c r="A121" i="14" a="1"/>
  <c r="A121" i="14" s="1"/>
  <c r="A124" i="13" a="1"/>
  <c r="A124" i="13" s="1"/>
  <c r="C121" i="14" l="1"/>
  <c r="D121" i="14"/>
  <c r="G121" i="14"/>
  <c r="B121" i="14"/>
  <c r="F121" i="14"/>
  <c r="H121" i="14"/>
  <c r="E121" i="14"/>
  <c r="B124" i="13"/>
  <c r="C124" i="13"/>
  <c r="D124" i="13"/>
  <c r="H124" i="13"/>
  <c r="E124" i="13"/>
  <c r="F124" i="13"/>
  <c r="G124" i="13"/>
  <c r="A122" i="14" a="1"/>
  <c r="A122" i="14" s="1"/>
  <c r="A125" i="13" a="1"/>
  <c r="A125" i="13" s="1"/>
  <c r="B122" i="14" l="1"/>
  <c r="C122" i="14"/>
  <c r="D122" i="14"/>
  <c r="E122" i="14"/>
  <c r="F122" i="14"/>
  <c r="G122" i="14"/>
  <c r="H122" i="14"/>
  <c r="D125" i="13"/>
  <c r="B125" i="13"/>
  <c r="H125" i="13"/>
  <c r="C125" i="13"/>
  <c r="E125" i="13"/>
  <c r="F125" i="13"/>
  <c r="G125" i="13"/>
  <c r="A123" i="14" a="1"/>
  <c r="A123" i="14" s="1"/>
  <c r="A126" i="13" a="1"/>
  <c r="A126" i="13" s="1"/>
  <c r="B123" i="14" l="1"/>
  <c r="C123" i="14"/>
  <c r="D123" i="14"/>
  <c r="G123" i="14"/>
  <c r="H123" i="14"/>
  <c r="E123" i="14"/>
  <c r="F123" i="14"/>
  <c r="B126" i="13"/>
  <c r="C126" i="13"/>
  <c r="D126" i="13"/>
  <c r="H126" i="13"/>
  <c r="F126" i="13"/>
  <c r="G126" i="13"/>
  <c r="E126" i="13"/>
  <c r="A124" i="14" a="1"/>
  <c r="A124" i="14" s="1"/>
  <c r="A127" i="13" a="1"/>
  <c r="A127" i="13" s="1"/>
  <c r="B124" i="14" l="1"/>
  <c r="C124" i="14"/>
  <c r="D124" i="14"/>
  <c r="E124" i="14"/>
  <c r="F124" i="14"/>
  <c r="G124" i="14"/>
  <c r="H124" i="14"/>
  <c r="B127" i="13"/>
  <c r="C127" i="13"/>
  <c r="D127" i="13"/>
  <c r="H127" i="13"/>
  <c r="E127" i="13"/>
  <c r="F127" i="13"/>
  <c r="G127" i="13"/>
  <c r="A125" i="14" a="1"/>
  <c r="A125" i="14" s="1"/>
  <c r="A128" i="13" a="1"/>
  <c r="A128" i="13" s="1"/>
  <c r="B125" i="14" l="1"/>
  <c r="C125" i="14"/>
  <c r="D125" i="14"/>
  <c r="G125" i="14"/>
  <c r="H125" i="14"/>
  <c r="E125" i="14"/>
  <c r="F125" i="14"/>
  <c r="C128" i="13"/>
  <c r="D128" i="13"/>
  <c r="B128" i="13"/>
  <c r="H128" i="13"/>
  <c r="E128" i="13"/>
  <c r="F128" i="13"/>
  <c r="G128" i="13"/>
  <c r="A126" i="14" a="1"/>
  <c r="A126" i="14" s="1"/>
  <c r="A129" i="13" a="1"/>
  <c r="A129" i="13" s="1"/>
  <c r="D126" i="14" l="1"/>
  <c r="B126" i="14"/>
  <c r="C126" i="14"/>
  <c r="E126" i="14"/>
  <c r="F126" i="14"/>
  <c r="G126" i="14"/>
  <c r="H126" i="14"/>
  <c r="B129" i="13"/>
  <c r="C129" i="13"/>
  <c r="D129" i="13"/>
  <c r="E129" i="13"/>
  <c r="F129" i="13"/>
  <c r="G129" i="13"/>
  <c r="H129" i="13"/>
  <c r="A127" i="14" a="1"/>
  <c r="A127" i="14" s="1"/>
  <c r="A130" i="13" a="1"/>
  <c r="A130" i="13" s="1"/>
  <c r="B127" i="14" l="1"/>
  <c r="C127" i="14"/>
  <c r="D127" i="14"/>
  <c r="G127" i="14"/>
  <c r="H127" i="14"/>
  <c r="E127" i="14"/>
  <c r="F127" i="14"/>
  <c r="B130" i="13"/>
  <c r="C130" i="13"/>
  <c r="D130" i="13"/>
  <c r="H130" i="13"/>
  <c r="E130" i="13"/>
  <c r="F130" i="13"/>
  <c r="G130" i="13"/>
  <c r="A128" i="14" a="1"/>
  <c r="A128" i="14" s="1"/>
  <c r="A131" i="13" a="1"/>
  <c r="A131" i="13" s="1"/>
  <c r="B128" i="14" l="1"/>
  <c r="C128" i="14"/>
  <c r="D128" i="14"/>
  <c r="E128" i="14"/>
  <c r="F128" i="14"/>
  <c r="G128" i="14"/>
  <c r="H128" i="14"/>
  <c r="B131" i="13"/>
  <c r="C131" i="13"/>
  <c r="D131" i="13"/>
  <c r="F131" i="13"/>
  <c r="G131" i="13"/>
  <c r="H131" i="13"/>
  <c r="E131" i="13"/>
  <c r="A129" i="14" a="1"/>
  <c r="A129" i="14" s="1"/>
  <c r="A132" i="13" a="1"/>
  <c r="A132" i="13" s="1"/>
  <c r="C129" i="14" l="1"/>
  <c r="D129" i="14"/>
  <c r="G129" i="14"/>
  <c r="H129" i="14"/>
  <c r="B129" i="14"/>
  <c r="E129" i="14"/>
  <c r="F129" i="14"/>
  <c r="B132" i="13"/>
  <c r="C132" i="13"/>
  <c r="D132" i="13"/>
  <c r="H132" i="13"/>
  <c r="E132" i="13"/>
  <c r="F132" i="13"/>
  <c r="G132" i="13"/>
  <c r="A130" i="14" a="1"/>
  <c r="A130" i="14" s="1"/>
  <c r="A133" i="13" a="1"/>
  <c r="A133" i="13" s="1"/>
  <c r="B130" i="14" l="1"/>
  <c r="C130" i="14"/>
  <c r="D130" i="14"/>
  <c r="E130" i="14"/>
  <c r="F130" i="14"/>
  <c r="G130" i="14"/>
  <c r="H130" i="14"/>
  <c r="D133" i="13"/>
  <c r="B133" i="13"/>
  <c r="C133" i="13"/>
  <c r="G133" i="13"/>
  <c r="H133" i="13"/>
  <c r="E133" i="13"/>
  <c r="F133" i="13"/>
  <c r="A131" i="14" a="1"/>
  <c r="A131" i="14" s="1"/>
  <c r="A134" i="13" a="1"/>
  <c r="A134" i="13" s="1"/>
  <c r="B131" i="14" l="1"/>
  <c r="C131" i="14"/>
  <c r="D131" i="14"/>
  <c r="G131" i="14"/>
  <c r="H131" i="14"/>
  <c r="E131" i="14"/>
  <c r="F131" i="14"/>
  <c r="B134" i="13"/>
  <c r="C134" i="13"/>
  <c r="D134" i="13"/>
  <c r="H134" i="13"/>
  <c r="E134" i="13"/>
  <c r="F134" i="13"/>
  <c r="G134" i="13"/>
  <c r="A132" i="14" a="1"/>
  <c r="A132" i="14" s="1"/>
  <c r="A135" i="13" a="1"/>
  <c r="A135" i="13" s="1"/>
  <c r="B132" i="14" l="1"/>
  <c r="C132" i="14"/>
  <c r="D132" i="14"/>
  <c r="E132" i="14"/>
  <c r="F132" i="14"/>
  <c r="G132" i="14"/>
  <c r="H132" i="14"/>
  <c r="B135" i="13"/>
  <c r="C135" i="13"/>
  <c r="D135" i="13"/>
  <c r="H135" i="13"/>
  <c r="E135" i="13"/>
  <c r="F135" i="13"/>
  <c r="G135" i="13"/>
  <c r="A133" i="14" a="1"/>
  <c r="A133" i="14" s="1"/>
  <c r="A136" i="13" a="1"/>
  <c r="A136" i="13" s="1"/>
  <c r="B133" i="14" l="1"/>
  <c r="C133" i="14"/>
  <c r="D133" i="14"/>
  <c r="G133" i="14"/>
  <c r="H133" i="14"/>
  <c r="E133" i="14"/>
  <c r="F133" i="14"/>
  <c r="C136" i="13"/>
  <c r="D136" i="13"/>
  <c r="B136" i="13"/>
  <c r="E136" i="13"/>
  <c r="F136" i="13"/>
  <c r="G136" i="13"/>
  <c r="H136" i="13"/>
  <c r="A134" i="14" a="1"/>
  <c r="A134" i="14" s="1"/>
  <c r="A137" i="13" a="1"/>
  <c r="A137" i="13" s="1"/>
  <c r="D134" i="14" l="1"/>
  <c r="B134" i="14"/>
  <c r="C134" i="14"/>
  <c r="E134" i="14"/>
  <c r="F134" i="14"/>
  <c r="G134" i="14"/>
  <c r="H134" i="14"/>
  <c r="B137" i="13"/>
  <c r="C137" i="13"/>
  <c r="D137" i="13"/>
  <c r="H137" i="13"/>
  <c r="E137" i="13"/>
  <c r="F137" i="13"/>
  <c r="G137" i="13"/>
  <c r="A135" i="14" a="1"/>
  <c r="A135" i="14" s="1"/>
  <c r="A138" i="13" a="1"/>
  <c r="A138" i="13" s="1"/>
  <c r="B135" i="14" l="1"/>
  <c r="C135" i="14"/>
  <c r="D135" i="14"/>
  <c r="G135" i="14"/>
  <c r="H135" i="14"/>
  <c r="E135" i="14"/>
  <c r="F135" i="14"/>
  <c r="B138" i="13"/>
  <c r="C138" i="13"/>
  <c r="D138" i="13"/>
  <c r="E138" i="13"/>
  <c r="F138" i="13"/>
  <c r="G138" i="13"/>
  <c r="H138" i="13"/>
  <c r="A136" i="14" a="1"/>
  <c r="A136" i="14" s="1"/>
  <c r="A139" i="13" a="1"/>
  <c r="A139" i="13" s="1"/>
  <c r="B136" i="14" l="1"/>
  <c r="C136" i="14"/>
  <c r="D136" i="14"/>
  <c r="E136" i="14"/>
  <c r="F136" i="14"/>
  <c r="G136" i="14"/>
  <c r="H136" i="14"/>
  <c r="B139" i="13"/>
  <c r="C139" i="13"/>
  <c r="D139" i="13"/>
  <c r="H139" i="13"/>
  <c r="E139" i="13"/>
  <c r="F139" i="13"/>
  <c r="G139" i="13"/>
  <c r="A137" i="14" a="1"/>
  <c r="A137" i="14" s="1"/>
  <c r="A140" i="13" a="1"/>
  <c r="A140" i="13" s="1"/>
  <c r="C137" i="14" l="1"/>
  <c r="D137" i="14"/>
  <c r="B137" i="14"/>
  <c r="G137" i="14"/>
  <c r="H137" i="14"/>
  <c r="E137" i="14"/>
  <c r="F137" i="14"/>
  <c r="B140" i="13"/>
  <c r="C140" i="13"/>
  <c r="D140" i="13"/>
  <c r="E140" i="13"/>
  <c r="F140" i="13"/>
  <c r="G140" i="13"/>
  <c r="H140" i="13"/>
  <c r="A138" i="14" a="1"/>
  <c r="A138" i="14" s="1"/>
  <c r="A141" i="13" a="1"/>
  <c r="A141" i="13" s="1"/>
  <c r="B138" i="14" l="1"/>
  <c r="C138" i="14"/>
  <c r="D138" i="14"/>
  <c r="E138" i="14"/>
  <c r="F138" i="14"/>
  <c r="G138" i="14"/>
  <c r="H138" i="14"/>
  <c r="D141" i="13"/>
  <c r="B141" i="13"/>
  <c r="C141" i="13"/>
  <c r="H141" i="13"/>
  <c r="E141" i="13"/>
  <c r="F141" i="13"/>
  <c r="G141" i="13"/>
  <c r="A139" i="14" a="1"/>
  <c r="A139" i="14" s="1"/>
  <c r="A142" i="13" a="1"/>
  <c r="A142" i="13" s="1"/>
  <c r="B139" i="14" l="1"/>
  <c r="C139" i="14"/>
  <c r="G139" i="14"/>
  <c r="H139" i="14"/>
  <c r="E139" i="14"/>
  <c r="D139" i="14"/>
  <c r="F139" i="14"/>
  <c r="B142" i="13"/>
  <c r="C142" i="13"/>
  <c r="D142" i="13"/>
  <c r="E142" i="13"/>
  <c r="F142" i="13"/>
  <c r="G142" i="13"/>
  <c r="H142" i="13"/>
  <c r="A140" i="14" a="1"/>
  <c r="A140" i="14" s="1"/>
  <c r="A143" i="13" a="1"/>
  <c r="A143" i="13" s="1"/>
  <c r="B140" i="14" l="1"/>
  <c r="C140" i="14"/>
  <c r="D140" i="14"/>
  <c r="E140" i="14"/>
  <c r="F140" i="14"/>
  <c r="G140" i="14"/>
  <c r="H140" i="14"/>
  <c r="B143" i="13"/>
  <c r="C143" i="13"/>
  <c r="D143" i="13"/>
  <c r="H143" i="13"/>
  <c r="E143" i="13"/>
  <c r="F143" i="13"/>
  <c r="G143" i="13"/>
  <c r="A141" i="14" a="1"/>
  <c r="A141" i="14" s="1"/>
  <c r="A144" i="13" a="1"/>
  <c r="A144" i="13" s="1"/>
  <c r="B141" i="14" l="1"/>
  <c r="C141" i="14"/>
  <c r="D141" i="14"/>
  <c r="G141" i="14"/>
  <c r="H141" i="14"/>
  <c r="E141" i="14"/>
  <c r="F141" i="14"/>
  <c r="C144" i="13"/>
  <c r="D144" i="13"/>
  <c r="B144" i="13"/>
  <c r="E144" i="13"/>
  <c r="F144" i="13"/>
  <c r="G144" i="13"/>
  <c r="H144" i="13"/>
  <c r="A142" i="14" a="1"/>
  <c r="A142" i="14" s="1"/>
  <c r="A145" i="13" a="1"/>
  <c r="A145" i="13" s="1"/>
  <c r="D142" i="14" l="1"/>
  <c r="B142" i="14"/>
  <c r="C142" i="14"/>
  <c r="E142" i="14"/>
  <c r="F142" i="14"/>
  <c r="G142" i="14"/>
  <c r="H142" i="14"/>
  <c r="B145" i="13"/>
  <c r="C145" i="13"/>
  <c r="D145" i="13"/>
  <c r="H145" i="13"/>
  <c r="E145" i="13"/>
  <c r="F145" i="13"/>
  <c r="G145" i="13"/>
  <c r="A143" i="14" a="1"/>
  <c r="A143" i="14" s="1"/>
  <c r="A146" i="13" a="1"/>
  <c r="A146" i="13" s="1"/>
  <c r="B143" i="14" l="1"/>
  <c r="C143" i="14"/>
  <c r="D143" i="14"/>
  <c r="G143" i="14"/>
  <c r="H143" i="14"/>
  <c r="E143" i="14"/>
  <c r="F143" i="14"/>
  <c r="B146" i="13"/>
  <c r="C146" i="13"/>
  <c r="D146" i="13"/>
  <c r="E146" i="13"/>
  <c r="F146" i="13"/>
  <c r="G146" i="13"/>
  <c r="H146" i="13"/>
  <c r="A144" i="14" a="1"/>
  <c r="A144" i="14" s="1"/>
  <c r="A147" i="13" a="1"/>
  <c r="A147" i="13" s="1"/>
  <c r="B144" i="14" l="1"/>
  <c r="C144" i="14"/>
  <c r="D144" i="14"/>
  <c r="E144" i="14"/>
  <c r="F144" i="14"/>
  <c r="G144" i="14"/>
  <c r="H144" i="14"/>
  <c r="B147" i="13"/>
  <c r="C147" i="13"/>
  <c r="D147" i="13"/>
  <c r="H147" i="13"/>
  <c r="E147" i="13"/>
  <c r="F147" i="13"/>
  <c r="G147" i="13"/>
  <c r="A145" i="14" a="1"/>
  <c r="A145" i="14" s="1"/>
  <c r="A148" i="13" a="1"/>
  <c r="A148" i="13" s="1"/>
  <c r="C145" i="14" l="1"/>
  <c r="D145" i="14"/>
  <c r="B145" i="14"/>
  <c r="G145" i="14"/>
  <c r="H145" i="14"/>
  <c r="E145" i="14"/>
  <c r="F145" i="14"/>
  <c r="B148" i="13"/>
  <c r="C148" i="13"/>
  <c r="D148" i="13"/>
  <c r="E148" i="13"/>
  <c r="F148" i="13"/>
  <c r="G148" i="13"/>
  <c r="H148" i="13"/>
  <c r="A146" i="14" a="1"/>
  <c r="A146" i="14" s="1"/>
  <c r="A149" i="13" a="1"/>
  <c r="A149" i="13" s="1"/>
  <c r="B146" i="14" l="1"/>
  <c r="C146" i="14"/>
  <c r="D146" i="14"/>
  <c r="E146" i="14"/>
  <c r="F146" i="14"/>
  <c r="G146" i="14"/>
  <c r="H146" i="14"/>
  <c r="D149" i="13"/>
  <c r="B149" i="13"/>
  <c r="C149" i="13"/>
  <c r="H149" i="13"/>
  <c r="E149" i="13"/>
  <c r="F149" i="13"/>
  <c r="G149" i="13"/>
  <c r="A147" i="14" a="1"/>
  <c r="A147" i="14" s="1"/>
  <c r="A150" i="13" a="1"/>
  <c r="A150" i="13" s="1"/>
  <c r="B147" i="14" l="1"/>
  <c r="C147" i="14"/>
  <c r="D147" i="14"/>
  <c r="G147" i="14"/>
  <c r="H147" i="14"/>
  <c r="E147" i="14"/>
  <c r="F147" i="14"/>
  <c r="B150" i="13"/>
  <c r="C150" i="13"/>
  <c r="D150" i="13"/>
  <c r="E150" i="13"/>
  <c r="F150" i="13"/>
  <c r="G150" i="13"/>
  <c r="H150" i="13"/>
  <c r="A148" i="14" a="1"/>
  <c r="A148" i="14" s="1"/>
  <c r="A151" i="13" a="1"/>
  <c r="A151" i="13" s="1"/>
  <c r="B148" i="14" l="1"/>
  <c r="C148" i="14"/>
  <c r="D148" i="14"/>
  <c r="E148" i="14"/>
  <c r="F148" i="14"/>
  <c r="G148" i="14"/>
  <c r="H148" i="14"/>
  <c r="B151" i="13"/>
  <c r="C151" i="13"/>
  <c r="D151" i="13"/>
  <c r="H151" i="13"/>
  <c r="E151" i="13"/>
  <c r="F151" i="13"/>
  <c r="G151" i="13"/>
  <c r="A149" i="14" a="1"/>
  <c r="A149" i="14" s="1"/>
  <c r="A152" i="13" a="1"/>
  <c r="A152" i="13" s="1"/>
  <c r="B149" i="14" l="1"/>
  <c r="C149" i="14"/>
  <c r="D149" i="14"/>
  <c r="G149" i="14"/>
  <c r="H149" i="14"/>
  <c r="E149" i="14"/>
  <c r="F149" i="14"/>
  <c r="C152" i="13"/>
  <c r="D152" i="13"/>
  <c r="B152" i="13"/>
  <c r="E152" i="13"/>
  <c r="F152" i="13"/>
  <c r="G152" i="13"/>
  <c r="H152" i="13"/>
  <c r="A150" i="14" a="1"/>
  <c r="A150" i="14" s="1"/>
  <c r="A153" i="13" a="1"/>
  <c r="A153" i="13" s="1"/>
  <c r="D150" i="14" l="1"/>
  <c r="B150" i="14"/>
  <c r="C150" i="14"/>
  <c r="E150" i="14"/>
  <c r="F150" i="14"/>
  <c r="G150" i="14"/>
  <c r="H150" i="14"/>
  <c r="B153" i="13"/>
  <c r="C153" i="13"/>
  <c r="D153" i="13"/>
  <c r="H153" i="13"/>
  <c r="E153" i="13"/>
  <c r="F153" i="13"/>
  <c r="G153" i="13"/>
  <c r="A151" i="14" a="1"/>
  <c r="A151" i="14" s="1"/>
  <c r="A154" i="13" a="1"/>
  <c r="A154" i="13" s="1"/>
  <c r="B151" i="14" l="1"/>
  <c r="C151" i="14"/>
  <c r="D151" i="14"/>
  <c r="G151" i="14"/>
  <c r="H151" i="14"/>
  <c r="E151" i="14"/>
  <c r="F151" i="14"/>
  <c r="B154" i="13"/>
  <c r="C154" i="13"/>
  <c r="D154" i="13"/>
  <c r="E154" i="13"/>
  <c r="F154" i="13"/>
  <c r="G154" i="13"/>
  <c r="H154" i="13"/>
  <c r="A152" i="14" a="1"/>
  <c r="A152" i="14" s="1"/>
  <c r="A155" i="13" a="1"/>
  <c r="A155" i="13" s="1"/>
  <c r="B152" i="14" l="1"/>
  <c r="C152" i="14"/>
  <c r="D152" i="14"/>
  <c r="E152" i="14"/>
  <c r="F152" i="14"/>
  <c r="G152" i="14"/>
  <c r="H152" i="14"/>
  <c r="B155" i="13"/>
  <c r="C155" i="13"/>
  <c r="D155" i="13"/>
  <c r="H155" i="13"/>
  <c r="E155" i="13"/>
  <c r="F155" i="13"/>
  <c r="G155" i="13"/>
  <c r="A153" i="14" a="1"/>
  <c r="A153" i="14" s="1"/>
  <c r="A156" i="13" a="1"/>
  <c r="A156" i="13" s="1"/>
  <c r="C153" i="14" l="1"/>
  <c r="D153" i="14"/>
  <c r="B153" i="14"/>
  <c r="G153" i="14"/>
  <c r="H153" i="14"/>
  <c r="E153" i="14"/>
  <c r="F153" i="14"/>
  <c r="B156" i="13"/>
  <c r="C156" i="13"/>
  <c r="D156" i="13"/>
  <c r="E156" i="13"/>
  <c r="F156" i="13"/>
  <c r="G156" i="13"/>
  <c r="H156" i="13"/>
  <c r="A154" i="14" a="1"/>
  <c r="A154" i="14" s="1"/>
  <c r="A157" i="13" a="1"/>
  <c r="A157" i="13" s="1"/>
  <c r="B154" i="14" l="1"/>
  <c r="C154" i="14"/>
  <c r="D154" i="14"/>
  <c r="E154" i="14"/>
  <c r="F154" i="14"/>
  <c r="G154" i="14"/>
  <c r="H154" i="14"/>
  <c r="D157" i="13"/>
  <c r="B157" i="13"/>
  <c r="C157" i="13"/>
  <c r="H157" i="13"/>
  <c r="E157" i="13"/>
  <c r="F157" i="13"/>
  <c r="G157" i="13"/>
  <c r="A155" i="14" a="1"/>
  <c r="A155" i="14" s="1"/>
  <c r="A158" i="13" a="1"/>
  <c r="A158" i="13" s="1"/>
  <c r="B155" i="14" l="1"/>
  <c r="C155" i="14"/>
  <c r="D155" i="14"/>
  <c r="G155" i="14"/>
  <c r="H155" i="14"/>
  <c r="E155" i="14"/>
  <c r="F155" i="14"/>
  <c r="B158" i="13"/>
  <c r="C158" i="13"/>
  <c r="D158" i="13"/>
  <c r="E158" i="13"/>
  <c r="F158" i="13"/>
  <c r="G158" i="13"/>
  <c r="H158" i="13"/>
  <c r="A156" i="14" a="1"/>
  <c r="A156" i="14" s="1"/>
  <c r="A159" i="13" a="1"/>
  <c r="A159" i="13" s="1"/>
  <c r="B156" i="14" l="1"/>
  <c r="C156" i="14"/>
  <c r="D156" i="14"/>
  <c r="E156" i="14"/>
  <c r="F156" i="14"/>
  <c r="G156" i="14"/>
  <c r="H156" i="14"/>
  <c r="B159" i="13"/>
  <c r="C159" i="13"/>
  <c r="D159" i="13"/>
  <c r="H159" i="13"/>
  <c r="E159" i="13"/>
  <c r="F159" i="13"/>
  <c r="G159" i="13"/>
  <c r="A157" i="14" a="1"/>
  <c r="A157" i="14" s="1"/>
  <c r="A160" i="13" a="1"/>
  <c r="A160" i="13" s="1"/>
  <c r="B157" i="14" l="1"/>
  <c r="C157" i="14"/>
  <c r="D157" i="14"/>
  <c r="G157" i="14"/>
  <c r="H157" i="14"/>
  <c r="E157" i="14"/>
  <c r="F157" i="14"/>
  <c r="C160" i="13"/>
  <c r="D160" i="13"/>
  <c r="B160" i="13"/>
  <c r="E160" i="13"/>
  <c r="F160" i="13"/>
  <c r="G160" i="13"/>
  <c r="H160" i="13"/>
  <c r="A158" i="14" a="1"/>
  <c r="A158" i="14" s="1"/>
  <c r="A161" i="13" a="1"/>
  <c r="A161" i="13" s="1"/>
  <c r="D158" i="14" l="1"/>
  <c r="B158" i="14"/>
  <c r="C158" i="14"/>
  <c r="E158" i="14"/>
  <c r="F158" i="14"/>
  <c r="G158" i="14"/>
  <c r="H158" i="14"/>
  <c r="B161" i="13"/>
  <c r="C161" i="13"/>
  <c r="D161" i="13"/>
  <c r="H161" i="13"/>
  <c r="E161" i="13"/>
  <c r="F161" i="13"/>
  <c r="G161" i="13"/>
  <c r="A159" i="14" a="1"/>
  <c r="A159" i="14" s="1"/>
  <c r="A162" i="13" a="1"/>
  <c r="A162" i="13" s="1"/>
  <c r="B159" i="14" l="1"/>
  <c r="C159" i="14"/>
  <c r="D159" i="14"/>
  <c r="G159" i="14"/>
  <c r="H159" i="14"/>
  <c r="E159" i="14"/>
  <c r="F159" i="14"/>
  <c r="C162" i="13"/>
  <c r="B162" i="13"/>
  <c r="D162" i="13"/>
  <c r="E162" i="13"/>
  <c r="F162" i="13"/>
  <c r="G162" i="13"/>
  <c r="H162" i="13"/>
  <c r="A160" i="14" a="1"/>
  <c r="A160" i="14" s="1"/>
  <c r="A163" i="13" a="1"/>
  <c r="A163" i="13" s="1"/>
  <c r="B160" i="14" l="1"/>
  <c r="C160" i="14"/>
  <c r="D160" i="14"/>
  <c r="E160" i="14"/>
  <c r="F160" i="14"/>
  <c r="G160" i="14"/>
  <c r="H160" i="14"/>
  <c r="B163" i="13"/>
  <c r="C163" i="13"/>
  <c r="D163" i="13"/>
  <c r="H163" i="13"/>
  <c r="E163" i="13"/>
  <c r="F163" i="13"/>
  <c r="G163" i="13"/>
  <c r="A161" i="14" a="1"/>
  <c r="A161" i="14" s="1"/>
  <c r="A164" i="13" a="1"/>
  <c r="A164" i="13" s="1"/>
  <c r="C161" i="14" l="1"/>
  <c r="D161" i="14"/>
  <c r="G161" i="14"/>
  <c r="B161" i="14"/>
  <c r="H161" i="14"/>
  <c r="F161" i="14"/>
  <c r="E161" i="14"/>
  <c r="B164" i="13"/>
  <c r="C164" i="13"/>
  <c r="D164" i="13"/>
  <c r="E164" i="13"/>
  <c r="F164" i="13"/>
  <c r="G164" i="13"/>
  <c r="H164" i="13"/>
  <c r="A162" i="14" a="1"/>
  <c r="A162" i="14" s="1"/>
  <c r="A165" i="13" a="1"/>
  <c r="A165" i="13" s="1"/>
  <c r="B162" i="14" l="1"/>
  <c r="C162" i="14"/>
  <c r="D162" i="14"/>
  <c r="E162" i="14"/>
  <c r="F162" i="14"/>
  <c r="G162" i="14"/>
  <c r="H162" i="14"/>
  <c r="D165" i="13"/>
  <c r="B165" i="13"/>
  <c r="C165" i="13"/>
  <c r="H165" i="13"/>
  <c r="E165" i="13"/>
  <c r="F165" i="13"/>
  <c r="G165" i="13"/>
  <c r="A163" i="14" a="1"/>
  <c r="A163" i="14" s="1"/>
  <c r="A166" i="13" a="1"/>
  <c r="A166" i="13" s="1"/>
  <c r="B163" i="14" l="1"/>
  <c r="C163" i="14"/>
  <c r="D163" i="14"/>
  <c r="G163" i="14"/>
  <c r="H163" i="14"/>
  <c r="E163" i="14"/>
  <c r="F163" i="14"/>
  <c r="B166" i="13"/>
  <c r="C166" i="13"/>
  <c r="D166" i="13"/>
  <c r="E166" i="13"/>
  <c r="F166" i="13"/>
  <c r="G166" i="13"/>
  <c r="H166" i="13"/>
  <c r="A164" i="14" a="1"/>
  <c r="A164" i="14" s="1"/>
  <c r="A167" i="13" a="1"/>
  <c r="A167" i="13" s="1"/>
  <c r="B164" i="14" l="1"/>
  <c r="C164" i="14"/>
  <c r="D164" i="14"/>
  <c r="E164" i="14"/>
  <c r="F164" i="14"/>
  <c r="G164" i="14"/>
  <c r="H164" i="14"/>
  <c r="B167" i="13"/>
  <c r="D167" i="13"/>
  <c r="C167" i="13"/>
  <c r="H167" i="13"/>
  <c r="E167" i="13"/>
  <c r="F167" i="13"/>
  <c r="G167" i="13"/>
  <c r="A165" i="14" a="1"/>
  <c r="A165" i="14" s="1"/>
  <c r="A168" i="13" a="1"/>
  <c r="A168" i="13" s="1"/>
  <c r="B165" i="14" l="1"/>
  <c r="C165" i="14"/>
  <c r="D165" i="14"/>
  <c r="G165" i="14"/>
  <c r="H165" i="14"/>
  <c r="E165" i="14"/>
  <c r="F165" i="14"/>
  <c r="C168" i="13"/>
  <c r="D168" i="13"/>
  <c r="B168" i="13"/>
  <c r="E168" i="13"/>
  <c r="F168" i="13"/>
  <c r="G168" i="13"/>
  <c r="H168" i="13"/>
  <c r="A166" i="14" a="1"/>
  <c r="A166" i="14" s="1"/>
  <c r="A169" i="13" a="1"/>
  <c r="A169" i="13" s="1"/>
  <c r="D166" i="14" l="1"/>
  <c r="B166" i="14"/>
  <c r="C166" i="14"/>
  <c r="E166" i="14"/>
  <c r="F166" i="14"/>
  <c r="G166" i="14"/>
  <c r="H166" i="14"/>
  <c r="B169" i="13"/>
  <c r="C169" i="13"/>
  <c r="D169" i="13"/>
  <c r="H169" i="13"/>
  <c r="E169" i="13"/>
  <c r="F169" i="13"/>
  <c r="G169" i="13"/>
  <c r="A167" i="14" a="1"/>
  <c r="A167" i="14" s="1"/>
  <c r="A170" i="13" a="1"/>
  <c r="A170" i="13" s="1"/>
  <c r="B167" i="14" l="1"/>
  <c r="C167" i="14"/>
  <c r="D167" i="14"/>
  <c r="G167" i="14"/>
  <c r="H167" i="14"/>
  <c r="E167" i="14"/>
  <c r="F167" i="14"/>
  <c r="C170" i="13"/>
  <c r="B170" i="13"/>
  <c r="D170" i="13"/>
  <c r="E170" i="13"/>
  <c r="F170" i="13"/>
  <c r="G170" i="13"/>
  <c r="H170" i="13"/>
  <c r="A168" i="14" a="1"/>
  <c r="A168" i="14" s="1"/>
  <c r="A171" i="13" a="1"/>
  <c r="A171" i="13" s="1"/>
  <c r="B168" i="14" l="1"/>
  <c r="C168" i="14"/>
  <c r="D168" i="14"/>
  <c r="E168" i="14"/>
  <c r="F168" i="14"/>
  <c r="G168" i="14"/>
  <c r="H168" i="14"/>
  <c r="B171" i="13"/>
  <c r="C171" i="13"/>
  <c r="D171" i="13"/>
  <c r="H171" i="13"/>
  <c r="E171" i="13"/>
  <c r="F171" i="13"/>
  <c r="G171" i="13"/>
  <c r="A169" i="14" a="1"/>
  <c r="A169" i="14" s="1"/>
  <c r="A172" i="13" a="1"/>
  <c r="A172" i="13" s="1"/>
  <c r="C169" i="14" l="1"/>
  <c r="D169" i="14"/>
  <c r="B169" i="14"/>
  <c r="G169" i="14"/>
  <c r="H169" i="14"/>
  <c r="F169" i="14"/>
  <c r="E169" i="14"/>
  <c r="B172" i="13"/>
  <c r="C172" i="13"/>
  <c r="D172" i="13"/>
  <c r="E172" i="13"/>
  <c r="F172" i="13"/>
  <c r="G172" i="13"/>
  <c r="H172" i="13"/>
  <c r="A170" i="14" a="1"/>
  <c r="A170" i="14" s="1"/>
  <c r="A173" i="13" a="1"/>
  <c r="A173" i="13" s="1"/>
  <c r="B170" i="14" l="1"/>
  <c r="C170" i="14"/>
  <c r="D170" i="14"/>
  <c r="E170" i="14"/>
  <c r="F170" i="14"/>
  <c r="G170" i="14"/>
  <c r="H170" i="14"/>
  <c r="D173" i="13"/>
  <c r="B173" i="13"/>
  <c r="C173" i="13"/>
  <c r="H173" i="13"/>
  <c r="E173" i="13"/>
  <c r="F173" i="13"/>
  <c r="G173" i="13"/>
  <c r="A171" i="14" a="1"/>
  <c r="A171" i="14" s="1"/>
  <c r="A174" i="13" a="1"/>
  <c r="A174" i="13" s="1"/>
  <c r="B171" i="14" l="1"/>
  <c r="C171" i="14"/>
  <c r="G171" i="14"/>
  <c r="H171" i="14"/>
  <c r="D171" i="14"/>
  <c r="E171" i="14"/>
  <c r="F171" i="14"/>
  <c r="B174" i="13"/>
  <c r="C174" i="13"/>
  <c r="D174" i="13"/>
  <c r="E174" i="13"/>
  <c r="F174" i="13"/>
  <c r="G174" i="13"/>
  <c r="H174" i="13"/>
  <c r="A172" i="14" a="1"/>
  <c r="A172" i="14" s="1"/>
  <c r="A175" i="13" a="1"/>
  <c r="A175" i="13" s="1"/>
  <c r="B172" i="14" l="1"/>
  <c r="C172" i="14"/>
  <c r="D172" i="14"/>
  <c r="E172" i="14"/>
  <c r="F172" i="14"/>
  <c r="G172" i="14"/>
  <c r="H172" i="14"/>
  <c r="B175" i="13"/>
  <c r="D175" i="13"/>
  <c r="C175" i="13"/>
  <c r="H175" i="13"/>
  <c r="E175" i="13"/>
  <c r="F175" i="13"/>
  <c r="G175" i="13"/>
  <c r="A173" i="14" a="1"/>
  <c r="A173" i="14" s="1"/>
  <c r="A176" i="13" a="1"/>
  <c r="A176" i="13" s="1"/>
  <c r="B173" i="14" l="1"/>
  <c r="C173" i="14"/>
  <c r="D173" i="14"/>
  <c r="G173" i="14"/>
  <c r="H173" i="14"/>
  <c r="E173" i="14"/>
  <c r="F173" i="14"/>
  <c r="C176" i="13"/>
  <c r="D176" i="13"/>
  <c r="B176" i="13"/>
  <c r="E176" i="13"/>
  <c r="F176" i="13"/>
  <c r="G176" i="13"/>
  <c r="H176" i="13"/>
  <c r="A174" i="14" a="1"/>
  <c r="A174" i="14" s="1"/>
  <c r="A177" i="13" a="1"/>
  <c r="A177" i="13" s="1"/>
  <c r="D174" i="14" l="1"/>
  <c r="B174" i="14"/>
  <c r="C174" i="14"/>
  <c r="E174" i="14"/>
  <c r="F174" i="14"/>
  <c r="G174" i="14"/>
  <c r="H174" i="14"/>
  <c r="B177" i="13"/>
  <c r="C177" i="13"/>
  <c r="D177" i="13"/>
  <c r="H177" i="13"/>
  <c r="E177" i="13"/>
  <c r="F177" i="13"/>
  <c r="G177" i="13"/>
  <c r="A175" i="14" a="1"/>
  <c r="A175" i="14" s="1"/>
  <c r="A178" i="13" a="1"/>
  <c r="A178" i="13" s="1"/>
  <c r="B175" i="14" l="1"/>
  <c r="C175" i="14"/>
  <c r="D175" i="14"/>
  <c r="G175" i="14"/>
  <c r="H175" i="14"/>
  <c r="F175" i="14"/>
  <c r="E175" i="14"/>
  <c r="C178" i="13"/>
  <c r="D178" i="13"/>
  <c r="B178" i="13"/>
  <c r="E178" i="13"/>
  <c r="F178" i="13"/>
  <c r="G178" i="13"/>
  <c r="H178" i="13"/>
  <c r="A176" i="14" a="1"/>
  <c r="A176" i="14" s="1"/>
  <c r="A179" i="13" a="1"/>
  <c r="A179" i="13" s="1"/>
  <c r="B176" i="14" l="1"/>
  <c r="C176" i="14"/>
  <c r="D176" i="14"/>
  <c r="E176" i="14"/>
  <c r="F176" i="14"/>
  <c r="G176" i="14"/>
  <c r="H176" i="14"/>
  <c r="B179" i="13"/>
  <c r="C179" i="13"/>
  <c r="D179" i="13"/>
  <c r="H179" i="13"/>
  <c r="E179" i="13"/>
  <c r="F179" i="13"/>
  <c r="G179" i="13"/>
  <c r="A177" i="14" a="1"/>
  <c r="A177" i="14" s="1"/>
  <c r="A180" i="13" a="1"/>
  <c r="A180" i="13" s="1"/>
  <c r="C177" i="14" l="1"/>
  <c r="D177" i="14"/>
  <c r="B177" i="14"/>
  <c r="G177" i="14"/>
  <c r="H177" i="14"/>
  <c r="F177" i="14"/>
  <c r="E177" i="14"/>
  <c r="C180" i="13"/>
  <c r="B180" i="13"/>
  <c r="D180" i="13"/>
  <c r="E180" i="13"/>
  <c r="F180" i="13"/>
  <c r="G180" i="13"/>
  <c r="H180" i="13"/>
  <c r="A178" i="14" a="1"/>
  <c r="A178" i="14" s="1"/>
  <c r="A181" i="13" a="1"/>
  <c r="A181" i="13" s="1"/>
  <c r="B178" i="14" l="1"/>
  <c r="C178" i="14"/>
  <c r="D178" i="14"/>
  <c r="E178" i="14"/>
  <c r="F178" i="14"/>
  <c r="G178" i="14"/>
  <c r="H178" i="14"/>
  <c r="D181" i="13"/>
  <c r="B181" i="13"/>
  <c r="C181" i="13"/>
  <c r="H181" i="13"/>
  <c r="E181" i="13"/>
  <c r="F181" i="13"/>
  <c r="G181" i="13"/>
  <c r="A179" i="14" a="1"/>
  <c r="A179" i="14" s="1"/>
  <c r="A182" i="13" a="1"/>
  <c r="A182" i="13" s="1"/>
  <c r="B179" i="14" l="1"/>
  <c r="C179" i="14"/>
  <c r="D179" i="14"/>
  <c r="G179" i="14"/>
  <c r="H179" i="14"/>
  <c r="E179" i="14"/>
  <c r="F179" i="14"/>
  <c r="C182" i="13"/>
  <c r="B182" i="13"/>
  <c r="D182" i="13"/>
  <c r="E182" i="13"/>
  <c r="F182" i="13"/>
  <c r="G182" i="13"/>
  <c r="H182" i="13"/>
  <c r="A180" i="14" a="1"/>
  <c r="A180" i="14" s="1"/>
  <c r="A183" i="13" a="1"/>
  <c r="A183" i="13" s="1"/>
  <c r="B180" i="14" l="1"/>
  <c r="C180" i="14"/>
  <c r="D180" i="14"/>
  <c r="E180" i="14"/>
  <c r="F180" i="14"/>
  <c r="G180" i="14"/>
  <c r="H180" i="14"/>
  <c r="B183" i="13"/>
  <c r="D183" i="13"/>
  <c r="C183" i="13"/>
  <c r="H183" i="13"/>
  <c r="E183" i="13"/>
  <c r="F183" i="13"/>
  <c r="G183" i="13"/>
  <c r="A181" i="14" a="1"/>
  <c r="A181" i="14" s="1"/>
  <c r="A184" i="13" a="1"/>
  <c r="A184" i="13" s="1"/>
  <c r="B181" i="14" l="1"/>
  <c r="C181" i="14"/>
  <c r="D181" i="14"/>
  <c r="G181" i="14"/>
  <c r="H181" i="14"/>
  <c r="E181" i="14"/>
  <c r="F181" i="14"/>
  <c r="C184" i="13"/>
  <c r="D184" i="13"/>
  <c r="B184" i="13"/>
  <c r="E184" i="13"/>
  <c r="F184" i="13"/>
  <c r="G184" i="13"/>
  <c r="H184" i="13"/>
  <c r="A182" i="14" a="1"/>
  <c r="A182" i="14" s="1"/>
  <c r="A185" i="13" a="1"/>
  <c r="A185" i="13" s="1"/>
  <c r="D182" i="14" l="1"/>
  <c r="B182" i="14"/>
  <c r="E182" i="14"/>
  <c r="C182" i="14"/>
  <c r="F182" i="14"/>
  <c r="G182" i="14"/>
  <c r="H182" i="14"/>
  <c r="B185" i="13"/>
  <c r="D185" i="13"/>
  <c r="C185" i="13"/>
  <c r="H185" i="13"/>
  <c r="E185" i="13"/>
  <c r="F185" i="13"/>
  <c r="G185" i="13"/>
  <c r="A183" i="14" a="1"/>
  <c r="A183" i="14" s="1"/>
  <c r="A186" i="13" a="1"/>
  <c r="A186" i="13" s="1"/>
  <c r="B183" i="14" l="1"/>
  <c r="C183" i="14"/>
  <c r="D183" i="14"/>
  <c r="G183" i="14"/>
  <c r="H183" i="14"/>
  <c r="E183" i="14"/>
  <c r="F183" i="14"/>
  <c r="C186" i="13"/>
  <c r="B186" i="13"/>
  <c r="D186" i="13"/>
  <c r="E186" i="13"/>
  <c r="F186" i="13"/>
  <c r="G186" i="13"/>
  <c r="H186" i="13"/>
  <c r="A184" i="14" a="1"/>
  <c r="A184" i="14" s="1"/>
  <c r="A187" i="13" a="1"/>
  <c r="A187" i="13" s="1"/>
  <c r="B184" i="14" l="1"/>
  <c r="C184" i="14"/>
  <c r="D184" i="14"/>
  <c r="E184" i="14"/>
  <c r="F184" i="14"/>
  <c r="H184" i="14"/>
  <c r="G184" i="14"/>
  <c r="B187" i="13"/>
  <c r="D187" i="13"/>
  <c r="C187" i="13"/>
  <c r="H187" i="13"/>
  <c r="E187" i="13"/>
  <c r="F187" i="13"/>
  <c r="G187" i="13"/>
  <c r="A185" i="14" a="1"/>
  <c r="A185" i="14" s="1"/>
  <c r="A188" i="13" a="1"/>
  <c r="A188" i="13" s="1"/>
  <c r="C185" i="14" l="1"/>
  <c r="D185" i="14"/>
  <c r="B185" i="14"/>
  <c r="G185" i="14"/>
  <c r="H185" i="14"/>
  <c r="E185" i="14"/>
  <c r="F185" i="14"/>
  <c r="C188" i="13"/>
  <c r="B188" i="13"/>
  <c r="D188" i="13"/>
  <c r="E188" i="13"/>
  <c r="F188" i="13"/>
  <c r="G188" i="13"/>
  <c r="H188" i="13"/>
  <c r="A186" i="14" a="1"/>
  <c r="A186" i="14" s="1"/>
  <c r="A189" i="13" a="1"/>
  <c r="A189" i="13" s="1"/>
  <c r="B186" i="14" l="1"/>
  <c r="C186" i="14"/>
  <c r="D186" i="14"/>
  <c r="E186" i="14"/>
  <c r="F186" i="14"/>
  <c r="H186" i="14"/>
  <c r="G186" i="14"/>
  <c r="D189" i="13"/>
  <c r="B189" i="13"/>
  <c r="C189" i="13"/>
  <c r="H189" i="13"/>
  <c r="E189" i="13"/>
  <c r="F189" i="13"/>
  <c r="G189" i="13"/>
  <c r="A187" i="14" a="1"/>
  <c r="A187" i="14" s="1"/>
  <c r="A190" i="13" a="1"/>
  <c r="A190" i="13" s="1"/>
  <c r="B187" i="14" l="1"/>
  <c r="C187" i="14"/>
  <c r="D187" i="14"/>
  <c r="G187" i="14"/>
  <c r="H187" i="14"/>
  <c r="E187" i="14"/>
  <c r="F187" i="14"/>
  <c r="C190" i="13"/>
  <c r="B190" i="13"/>
  <c r="D190" i="13"/>
  <c r="E190" i="13"/>
  <c r="F190" i="13"/>
  <c r="G190" i="13"/>
  <c r="H190" i="13"/>
  <c r="A188" i="14" a="1"/>
  <c r="A188" i="14" s="1"/>
  <c r="A191" i="13" a="1"/>
  <c r="A191" i="13" s="1"/>
  <c r="B188" i="14" l="1"/>
  <c r="C188" i="14"/>
  <c r="D188" i="14"/>
  <c r="E188" i="14"/>
  <c r="F188" i="14"/>
  <c r="H188" i="14"/>
  <c r="G188" i="14"/>
  <c r="B191" i="13"/>
  <c r="D191" i="13"/>
  <c r="C191" i="13"/>
  <c r="H191" i="13"/>
  <c r="E191" i="13"/>
  <c r="F191" i="13"/>
  <c r="G191" i="13"/>
  <c r="A189" i="14" a="1"/>
  <c r="A189" i="14" s="1"/>
  <c r="A192" i="13" a="1"/>
  <c r="A192" i="13" s="1"/>
  <c r="B189" i="14" l="1"/>
  <c r="C189" i="14"/>
  <c r="D189" i="14"/>
  <c r="G189" i="14"/>
  <c r="H189" i="14"/>
  <c r="E189" i="14"/>
  <c r="F189" i="14"/>
  <c r="C192" i="13"/>
  <c r="B192" i="13"/>
  <c r="D192" i="13"/>
  <c r="E192" i="13"/>
  <c r="F192" i="13"/>
  <c r="G192" i="13"/>
  <c r="H192" i="13"/>
  <c r="A190" i="14" a="1"/>
  <c r="A190" i="14" s="1"/>
  <c r="A193" i="13" a="1"/>
  <c r="A193" i="13" s="1"/>
  <c r="D190" i="14" l="1"/>
  <c r="B190" i="14"/>
  <c r="C190" i="14"/>
  <c r="E190" i="14"/>
  <c r="F190" i="14"/>
  <c r="H190" i="14"/>
  <c r="G190" i="14"/>
  <c r="B193" i="13"/>
  <c r="D193" i="13"/>
  <c r="C193" i="13"/>
  <c r="H193" i="13"/>
  <c r="E193" i="13"/>
  <c r="F193" i="13"/>
  <c r="G193" i="13"/>
  <c r="A191" i="14" a="1"/>
  <c r="A191" i="14" s="1"/>
  <c r="A194" i="13" a="1"/>
  <c r="A194" i="13" s="1"/>
  <c r="B191" i="14" l="1"/>
  <c r="C191" i="14"/>
  <c r="D191" i="14"/>
  <c r="G191" i="14"/>
  <c r="H191" i="14"/>
  <c r="E191" i="14"/>
  <c r="F191" i="14"/>
  <c r="C194" i="13"/>
  <c r="B194" i="13"/>
  <c r="D194" i="13"/>
  <c r="E194" i="13"/>
  <c r="F194" i="13"/>
  <c r="G194" i="13"/>
  <c r="H194" i="13"/>
  <c r="A192" i="14" a="1"/>
  <c r="A192" i="14" s="1"/>
  <c r="A195" i="13" a="1"/>
  <c r="A195" i="13" s="1"/>
  <c r="B192" i="14" l="1"/>
  <c r="C192" i="14"/>
  <c r="D192" i="14"/>
  <c r="E192" i="14"/>
  <c r="F192" i="14"/>
  <c r="H192" i="14"/>
  <c r="G192" i="14"/>
  <c r="B195" i="13"/>
  <c r="D195" i="13"/>
  <c r="C195" i="13"/>
  <c r="H195" i="13"/>
  <c r="E195" i="13"/>
  <c r="F195" i="13"/>
  <c r="G195" i="13"/>
  <c r="A193" i="14" a="1"/>
  <c r="A193" i="14" s="1"/>
  <c r="A196" i="13" a="1"/>
  <c r="A196" i="13" s="1"/>
  <c r="C193" i="14" l="1"/>
  <c r="D193" i="14"/>
  <c r="G193" i="14"/>
  <c r="H193" i="14"/>
  <c r="B193" i="14"/>
  <c r="E193" i="14"/>
  <c r="F193" i="14"/>
  <c r="C196" i="13"/>
  <c r="B196" i="13"/>
  <c r="D196" i="13"/>
  <c r="E196" i="13"/>
  <c r="F196" i="13"/>
  <c r="G196" i="13"/>
  <c r="H196" i="13"/>
  <c r="A194" i="14" a="1"/>
  <c r="A194" i="14" s="1"/>
  <c r="A197" i="13" a="1"/>
  <c r="A197" i="13" s="1"/>
  <c r="B194" i="14" l="1"/>
  <c r="C194" i="14"/>
  <c r="D194" i="14"/>
  <c r="E194" i="14"/>
  <c r="F194" i="14"/>
  <c r="G194" i="14"/>
  <c r="H194" i="14"/>
  <c r="D197" i="13"/>
  <c r="B197" i="13"/>
  <c r="C197" i="13"/>
  <c r="H197" i="13"/>
  <c r="E197" i="13"/>
  <c r="G197" i="13"/>
  <c r="F197" i="13"/>
  <c r="A195" i="14" a="1"/>
  <c r="A195" i="14" s="1"/>
  <c r="A198" i="13" a="1"/>
  <c r="A198" i="13" s="1"/>
  <c r="B195" i="14" l="1"/>
  <c r="C195" i="14"/>
  <c r="D195" i="14"/>
  <c r="G195" i="14"/>
  <c r="H195" i="14"/>
  <c r="E195" i="14"/>
  <c r="F195" i="14"/>
  <c r="C198" i="13"/>
  <c r="B198" i="13"/>
  <c r="D198" i="13"/>
  <c r="E198" i="13"/>
  <c r="F198" i="13"/>
  <c r="G198" i="13"/>
  <c r="H198" i="13"/>
  <c r="A196" i="14" a="1"/>
  <c r="A196" i="14" s="1"/>
  <c r="A199" i="13" a="1"/>
  <c r="A199" i="13" s="1"/>
  <c r="B196" i="14" l="1"/>
  <c r="C196" i="14"/>
  <c r="D196" i="14"/>
  <c r="E196" i="14"/>
  <c r="F196" i="14"/>
  <c r="G196" i="14"/>
  <c r="H196" i="14"/>
  <c r="B199" i="13"/>
  <c r="D199" i="13"/>
  <c r="C199" i="13"/>
  <c r="H199" i="13"/>
  <c r="E199" i="13"/>
  <c r="G199" i="13"/>
  <c r="F199" i="13"/>
  <c r="A197" i="14" a="1"/>
  <c r="A197" i="14" s="1"/>
  <c r="A200" i="13" a="1"/>
  <c r="A200" i="13" s="1"/>
  <c r="B197" i="14" l="1"/>
  <c r="C197" i="14"/>
  <c r="D197" i="14"/>
  <c r="G197" i="14"/>
  <c r="F197" i="14"/>
  <c r="E197" i="14"/>
  <c r="H197" i="14"/>
  <c r="C200" i="13"/>
  <c r="D200" i="13"/>
  <c r="B200" i="13"/>
  <c r="E200" i="13"/>
  <c r="F200" i="13"/>
  <c r="G200" i="13"/>
  <c r="H200" i="13"/>
  <c r="A198" i="14" a="1"/>
  <c r="A198" i="14" s="1"/>
  <c r="A201" i="13" a="1"/>
  <c r="A201" i="13" s="1"/>
  <c r="D198" i="14" l="1"/>
  <c r="B198" i="14"/>
  <c r="C198" i="14"/>
  <c r="E198" i="14"/>
  <c r="F198" i="14"/>
  <c r="H198" i="14"/>
  <c r="G198" i="14"/>
  <c r="B201" i="13"/>
  <c r="D201" i="13"/>
  <c r="C201" i="13"/>
  <c r="H201" i="13"/>
  <c r="E201" i="13"/>
  <c r="G201" i="13"/>
  <c r="F201" i="13"/>
  <c r="A199" i="14" a="1"/>
  <c r="A199" i="14" s="1"/>
  <c r="A202" i="13" a="1"/>
  <c r="A202" i="13" s="1"/>
  <c r="B199" i="14" l="1"/>
  <c r="C199" i="14"/>
  <c r="D199" i="14"/>
  <c r="G199" i="14"/>
  <c r="E199" i="14"/>
  <c r="F199" i="14"/>
  <c r="H199" i="14"/>
  <c r="C202" i="13"/>
  <c r="B202" i="13"/>
  <c r="D202" i="13"/>
  <c r="E202" i="13"/>
  <c r="F202" i="13"/>
  <c r="G202" i="13"/>
  <c r="H202" i="13"/>
  <c r="A200" i="14" a="1"/>
  <c r="A200" i="14" s="1"/>
  <c r="A203" i="13" a="1"/>
  <c r="A203" i="13" s="1"/>
  <c r="B200" i="14" l="1"/>
  <c r="C200" i="14"/>
  <c r="D200" i="14"/>
  <c r="E200" i="14"/>
  <c r="F200" i="14"/>
  <c r="H200" i="14"/>
  <c r="G200" i="14"/>
  <c r="B203" i="13"/>
  <c r="D203" i="13"/>
  <c r="C203" i="13"/>
  <c r="H203" i="13"/>
  <c r="E203" i="13"/>
  <c r="G203" i="13"/>
  <c r="F203" i="13"/>
  <c r="A201" i="14" a="1"/>
  <c r="A201" i="14" s="1"/>
  <c r="A204" i="13" a="1"/>
  <c r="A204" i="13" s="1"/>
  <c r="C201" i="14" l="1"/>
  <c r="D201" i="14"/>
  <c r="B201" i="14"/>
  <c r="G201" i="14"/>
  <c r="H201" i="14"/>
  <c r="E201" i="14"/>
  <c r="F201" i="14"/>
  <c r="C204" i="13"/>
  <c r="B204" i="13"/>
  <c r="D204" i="13"/>
  <c r="E204" i="13"/>
  <c r="F204" i="13"/>
  <c r="G204" i="13"/>
  <c r="H204" i="13"/>
  <c r="A202" i="14" a="1"/>
  <c r="A202" i="14" s="1"/>
  <c r="A205" i="13" a="1"/>
  <c r="A205" i="13" s="1"/>
  <c r="B202" i="14" l="1"/>
  <c r="C202" i="14"/>
  <c r="D202" i="14"/>
  <c r="E202" i="14"/>
  <c r="F202" i="14"/>
  <c r="G202" i="14"/>
  <c r="H202" i="14"/>
  <c r="D205" i="13"/>
  <c r="B205" i="13"/>
  <c r="C205" i="13"/>
  <c r="H205" i="13"/>
  <c r="E205" i="13"/>
  <c r="G205" i="13"/>
  <c r="F205" i="13"/>
  <c r="A203" i="14" a="1"/>
  <c r="A203" i="14" s="1"/>
  <c r="A206" i="13" a="1"/>
  <c r="A206" i="13" s="1"/>
  <c r="B203" i="14" l="1"/>
  <c r="C203" i="14"/>
  <c r="G203" i="14"/>
  <c r="D203" i="14"/>
  <c r="E203" i="14"/>
  <c r="F203" i="14"/>
  <c r="H203" i="14"/>
  <c r="C206" i="13"/>
  <c r="B206" i="13"/>
  <c r="D206" i="13"/>
  <c r="E206" i="13"/>
  <c r="F206" i="13"/>
  <c r="G206" i="13"/>
  <c r="H206" i="13"/>
  <c r="A204" i="14" a="1"/>
  <c r="A204" i="14" s="1"/>
  <c r="A207" i="13" a="1"/>
  <c r="A207" i="13" s="1"/>
  <c r="B204" i="14" l="1"/>
  <c r="C204" i="14"/>
  <c r="D204" i="14"/>
  <c r="E204" i="14"/>
  <c r="F204" i="14"/>
  <c r="G204" i="14"/>
  <c r="H204" i="14"/>
  <c r="B207" i="13"/>
  <c r="D207" i="13"/>
  <c r="C207" i="13"/>
  <c r="H207" i="13"/>
  <c r="E207" i="13"/>
  <c r="G207" i="13"/>
  <c r="F207" i="13"/>
  <c r="A205" i="14" a="1"/>
  <c r="A205" i="14" s="1"/>
  <c r="A208" i="13" a="1"/>
  <c r="A208" i="13" s="1"/>
  <c r="B205" i="14" l="1"/>
  <c r="C205" i="14"/>
  <c r="D205" i="14"/>
  <c r="G205" i="14"/>
  <c r="E205" i="14"/>
  <c r="F205" i="14"/>
  <c r="H205" i="14"/>
  <c r="C208" i="13"/>
  <c r="B208" i="13"/>
  <c r="D208" i="13"/>
  <c r="E208" i="13"/>
  <c r="F208" i="13"/>
  <c r="G208" i="13"/>
  <c r="H208" i="13"/>
  <c r="A206" i="14" a="1"/>
  <c r="A206" i="14" s="1"/>
  <c r="A209" i="13" a="1"/>
  <c r="A209" i="13" s="1"/>
  <c r="D206" i="14" l="1"/>
  <c r="B206" i="14"/>
  <c r="C206" i="14"/>
  <c r="E206" i="14"/>
  <c r="F206" i="14"/>
  <c r="G206" i="14"/>
  <c r="H206" i="14"/>
  <c r="B209" i="13"/>
  <c r="D209" i="13"/>
  <c r="C209" i="13"/>
  <c r="H209" i="13"/>
  <c r="E209" i="13"/>
  <c r="G209" i="13"/>
  <c r="F209" i="13"/>
  <c r="A207" i="14" a="1"/>
  <c r="A207" i="14" s="1"/>
  <c r="A210" i="13" a="1"/>
  <c r="A210" i="13" s="1"/>
  <c r="B207" i="14" l="1"/>
  <c r="C207" i="14"/>
  <c r="D207" i="14"/>
  <c r="G207" i="14"/>
  <c r="E207" i="14"/>
  <c r="F207" i="14"/>
  <c r="H207" i="14"/>
  <c r="C210" i="13"/>
  <c r="B210" i="13"/>
  <c r="D210" i="13"/>
  <c r="E210" i="13"/>
  <c r="F210" i="13"/>
  <c r="G210" i="13"/>
  <c r="H210" i="13"/>
  <c r="A208" i="14" a="1"/>
  <c r="A208" i="14" s="1"/>
  <c r="A211" i="13" a="1"/>
  <c r="A211" i="13" s="1"/>
  <c r="B208" i="14" l="1"/>
  <c r="C208" i="14"/>
  <c r="D208" i="14"/>
  <c r="E208" i="14"/>
  <c r="F208" i="14"/>
  <c r="G208" i="14"/>
  <c r="H208" i="14"/>
  <c r="B211" i="13"/>
  <c r="D211" i="13"/>
  <c r="C211" i="13"/>
  <c r="H211" i="13"/>
  <c r="E211" i="13"/>
  <c r="G211" i="13"/>
  <c r="F211" i="13"/>
  <c r="A209" i="14" a="1"/>
  <c r="A209" i="14" s="1"/>
  <c r="A212" i="13" a="1"/>
  <c r="A212" i="13" s="1"/>
  <c r="C209" i="14" l="1"/>
  <c r="D209" i="14"/>
  <c r="B209" i="14"/>
  <c r="G209" i="14"/>
  <c r="E209" i="14"/>
  <c r="F209" i="14"/>
  <c r="H209" i="14"/>
  <c r="C212" i="13"/>
  <c r="B212" i="13"/>
  <c r="D212" i="13"/>
  <c r="E212" i="13"/>
  <c r="F212" i="13"/>
  <c r="G212" i="13"/>
  <c r="H212" i="13"/>
  <c r="A210" i="14" a="1"/>
  <c r="A210" i="14" s="1"/>
  <c r="A213" i="13" a="1"/>
  <c r="A213" i="13" s="1"/>
  <c r="B210" i="14" l="1"/>
  <c r="C210" i="14"/>
  <c r="D210" i="14"/>
  <c r="E210" i="14"/>
  <c r="F210" i="14"/>
  <c r="H210" i="14"/>
  <c r="G210" i="14"/>
  <c r="D213" i="13"/>
  <c r="B213" i="13"/>
  <c r="C213" i="13"/>
  <c r="H213" i="13"/>
  <c r="E213" i="13"/>
  <c r="G213" i="13"/>
  <c r="F213" i="13"/>
  <c r="A211" i="14" a="1"/>
  <c r="A211" i="14" s="1"/>
  <c r="A214" i="13" a="1"/>
  <c r="A214" i="13" s="1"/>
  <c r="B211" i="14" l="1"/>
  <c r="C211" i="14"/>
  <c r="D211" i="14"/>
  <c r="G211" i="14"/>
  <c r="F211" i="14"/>
  <c r="H211" i="14"/>
  <c r="E211" i="14"/>
  <c r="C214" i="13"/>
  <c r="B214" i="13"/>
  <c r="D214" i="13"/>
  <c r="E214" i="13"/>
  <c r="F214" i="13"/>
  <c r="G214" i="13"/>
  <c r="H214" i="13"/>
  <c r="A212" i="14" a="1"/>
  <c r="A212" i="14" s="1"/>
  <c r="A215" i="13" a="1"/>
  <c r="A215" i="13" s="1"/>
  <c r="B212" i="14" l="1"/>
  <c r="C212" i="14"/>
  <c r="D212" i="14"/>
  <c r="E212" i="14"/>
  <c r="F212" i="14"/>
  <c r="G212" i="14"/>
  <c r="H212" i="14"/>
  <c r="B215" i="13"/>
  <c r="D215" i="13"/>
  <c r="C215" i="13"/>
  <c r="H215" i="13"/>
  <c r="E215" i="13"/>
  <c r="G215" i="13"/>
  <c r="F215" i="13"/>
  <c r="A213" i="14" a="1"/>
  <c r="A213" i="14" s="1"/>
  <c r="A216" i="13" a="1"/>
  <c r="A216" i="13" s="1"/>
  <c r="B213" i="14" l="1"/>
  <c r="C213" i="14"/>
  <c r="D213" i="14"/>
  <c r="G213" i="14"/>
  <c r="F213" i="14"/>
  <c r="E213" i="14"/>
  <c r="H213" i="14"/>
  <c r="C216" i="13"/>
  <c r="D216" i="13"/>
  <c r="B216" i="13"/>
  <c r="E216" i="13"/>
  <c r="F216" i="13"/>
  <c r="G216" i="13"/>
  <c r="H216" i="13"/>
  <c r="A214" i="14" a="1"/>
  <c r="A214" i="14" s="1"/>
  <c r="A217" i="13" a="1"/>
  <c r="A217" i="13" s="1"/>
  <c r="D214" i="14" l="1"/>
  <c r="B214" i="14"/>
  <c r="F214" i="14"/>
  <c r="C214" i="14"/>
  <c r="G214" i="14"/>
  <c r="H214" i="14"/>
  <c r="E214" i="14"/>
  <c r="B217" i="13"/>
  <c r="D217" i="13"/>
  <c r="C217" i="13"/>
  <c r="H217" i="13"/>
  <c r="E217" i="13"/>
  <c r="G217" i="13"/>
  <c r="F217" i="13"/>
  <c r="A215" i="14" a="1"/>
  <c r="A215" i="14" s="1"/>
  <c r="A218" i="13" a="1"/>
  <c r="A218" i="13" s="1"/>
  <c r="C215" i="14" l="1"/>
  <c r="D215" i="14"/>
  <c r="B215" i="14"/>
  <c r="G215" i="14"/>
  <c r="E215" i="14"/>
  <c r="F215" i="14"/>
  <c r="H215" i="14"/>
  <c r="C218" i="13"/>
  <c r="B218" i="13"/>
  <c r="D218" i="13"/>
  <c r="E218" i="13"/>
  <c r="F218" i="13"/>
  <c r="G218" i="13"/>
  <c r="H218" i="13"/>
  <c r="A216" i="14" a="1"/>
  <c r="A216" i="14" s="1"/>
  <c r="A219" i="13" a="1"/>
  <c r="A219" i="13" s="1"/>
  <c r="B216" i="14" l="1"/>
  <c r="C216" i="14"/>
  <c r="D216" i="14"/>
  <c r="F216" i="14"/>
  <c r="E216" i="14"/>
  <c r="G216" i="14"/>
  <c r="H216" i="14"/>
  <c r="B219" i="13"/>
  <c r="D219" i="13"/>
  <c r="C219" i="13"/>
  <c r="H219" i="13"/>
  <c r="E219" i="13"/>
  <c r="G219" i="13"/>
  <c r="F219" i="13"/>
  <c r="A217" i="14" a="1"/>
  <c r="A217" i="14" s="1"/>
  <c r="A220" i="13" a="1"/>
  <c r="A220" i="13" s="1"/>
  <c r="C217" i="14" l="1"/>
  <c r="B217" i="14"/>
  <c r="D217" i="14"/>
  <c r="G217" i="14"/>
  <c r="E217" i="14"/>
  <c r="F217" i="14"/>
  <c r="H217" i="14"/>
  <c r="C220" i="13"/>
  <c r="B220" i="13"/>
  <c r="D220" i="13"/>
  <c r="E220" i="13"/>
  <c r="F220" i="13"/>
  <c r="G220" i="13"/>
  <c r="H220" i="13"/>
  <c r="A218" i="14" a="1"/>
  <c r="A218" i="14" s="1"/>
  <c r="A221" i="13" a="1"/>
  <c r="A221" i="13" s="1"/>
  <c r="B218" i="14" l="1"/>
  <c r="C218" i="14"/>
  <c r="D218" i="14"/>
  <c r="E218" i="14"/>
  <c r="F218" i="14"/>
  <c r="H218" i="14"/>
  <c r="G218" i="14"/>
  <c r="B221" i="13"/>
  <c r="D221" i="13"/>
  <c r="C221" i="13"/>
  <c r="H221" i="13"/>
  <c r="E221" i="13"/>
  <c r="G221" i="13"/>
  <c r="F221" i="13"/>
  <c r="A219" i="14" a="1"/>
  <c r="A219" i="14" s="1"/>
  <c r="A222" i="13" a="1"/>
  <c r="A222" i="13" s="1"/>
  <c r="B219" i="14" l="1"/>
  <c r="C219" i="14"/>
  <c r="D219" i="14"/>
  <c r="G219" i="14"/>
  <c r="F219" i="14"/>
  <c r="H219" i="14"/>
  <c r="E219" i="14"/>
  <c r="C222" i="13"/>
  <c r="B222" i="13"/>
  <c r="D222" i="13"/>
  <c r="E222" i="13"/>
  <c r="F222" i="13"/>
  <c r="G222" i="13"/>
  <c r="H222" i="13"/>
  <c r="A220" i="14" a="1"/>
  <c r="A220" i="14" s="1"/>
  <c r="A223" i="13" a="1"/>
  <c r="A223" i="13" s="1"/>
  <c r="B220" i="14" l="1"/>
  <c r="D220" i="14"/>
  <c r="C220" i="14"/>
  <c r="E220" i="14"/>
  <c r="H220" i="14"/>
  <c r="F220" i="14"/>
  <c r="G220" i="14"/>
  <c r="D223" i="13"/>
  <c r="B223" i="13"/>
  <c r="C223" i="13"/>
  <c r="H223" i="13"/>
  <c r="E223" i="13"/>
  <c r="G223" i="13"/>
  <c r="F223" i="13"/>
  <c r="A221" i="14" a="1"/>
  <c r="A221" i="14" s="1"/>
  <c r="A224" i="13" a="1"/>
  <c r="A224" i="13" s="1"/>
  <c r="B221" i="14" l="1"/>
  <c r="C221" i="14"/>
  <c r="D221" i="14"/>
  <c r="G221" i="14"/>
  <c r="H221" i="14"/>
  <c r="E221" i="14"/>
  <c r="F221" i="14"/>
  <c r="B224" i="13"/>
  <c r="C224" i="13"/>
  <c r="D224" i="13"/>
  <c r="E224" i="13"/>
  <c r="F224" i="13"/>
  <c r="G224" i="13"/>
  <c r="H224" i="13"/>
  <c r="A222" i="14" a="1"/>
  <c r="A222" i="14" s="1"/>
  <c r="A225" i="13" a="1"/>
  <c r="A225" i="13" s="1"/>
  <c r="D222" i="14" l="1"/>
  <c r="C222" i="14"/>
  <c r="B222" i="14"/>
  <c r="E222" i="14"/>
  <c r="F222" i="14"/>
  <c r="G222" i="14"/>
  <c r="H222" i="14"/>
  <c r="B225" i="13"/>
  <c r="C225" i="13"/>
  <c r="D225" i="13"/>
  <c r="E225" i="13"/>
  <c r="G225" i="13"/>
  <c r="H225" i="13"/>
  <c r="F225" i="13"/>
  <c r="A223" i="14" a="1"/>
  <c r="A223" i="14" s="1"/>
  <c r="A226" i="13" a="1"/>
  <c r="A226" i="13" s="1"/>
  <c r="C223" i="14" l="1"/>
  <c r="D223" i="14"/>
  <c r="B223" i="14"/>
  <c r="G223" i="14"/>
  <c r="E223" i="14"/>
  <c r="F223" i="14"/>
  <c r="H223" i="14"/>
  <c r="C226" i="13"/>
  <c r="B226" i="13"/>
  <c r="D226" i="13"/>
  <c r="E226" i="13"/>
  <c r="F226" i="13"/>
  <c r="G226" i="13"/>
  <c r="H226" i="13"/>
  <c r="A224" i="14" a="1"/>
  <c r="A224" i="14" s="1"/>
  <c r="A227" i="13" a="1"/>
  <c r="A227" i="13" s="1"/>
  <c r="C224" i="14" l="1"/>
  <c r="B224" i="14"/>
  <c r="D224" i="14"/>
  <c r="E224" i="14"/>
  <c r="F224" i="14"/>
  <c r="G224" i="14"/>
  <c r="H224" i="14"/>
  <c r="D227" i="13"/>
  <c r="B227" i="13"/>
  <c r="C227" i="13"/>
  <c r="E227" i="13"/>
  <c r="G227" i="13"/>
  <c r="F227" i="13"/>
  <c r="H227" i="13"/>
  <c r="A225" i="14" a="1"/>
  <c r="A225" i="14" s="1"/>
  <c r="A228" i="13" a="1"/>
  <c r="A228" i="13" s="1"/>
  <c r="C225" i="14" l="1"/>
  <c r="B225" i="14"/>
  <c r="D225" i="14"/>
  <c r="G225" i="14"/>
  <c r="E225" i="14"/>
  <c r="F225" i="14"/>
  <c r="H225" i="14"/>
  <c r="D228" i="13"/>
  <c r="B228" i="13"/>
  <c r="C228" i="13"/>
  <c r="E228" i="13"/>
  <c r="F228" i="13"/>
  <c r="G228" i="13"/>
  <c r="H228" i="13"/>
  <c r="A226" i="14" a="1"/>
  <c r="A226" i="14" s="1"/>
  <c r="A229" i="13" a="1"/>
  <c r="A229" i="13" s="1"/>
  <c r="B226" i="14" l="1"/>
  <c r="C226" i="14"/>
  <c r="D226" i="14"/>
  <c r="F226" i="14"/>
  <c r="G226" i="14"/>
  <c r="H226" i="14"/>
  <c r="E226" i="14"/>
  <c r="B229" i="13"/>
  <c r="C229" i="13"/>
  <c r="D229" i="13"/>
  <c r="E229" i="13"/>
  <c r="G229" i="13"/>
  <c r="F229" i="13"/>
  <c r="H229" i="13"/>
  <c r="A227" i="14" a="1"/>
  <c r="A227" i="14" s="1"/>
  <c r="A230" i="13" a="1"/>
  <c r="A230" i="13" s="1"/>
  <c r="B227" i="14" l="1"/>
  <c r="D227" i="14"/>
  <c r="C227" i="14"/>
  <c r="G227" i="14"/>
  <c r="E227" i="14"/>
  <c r="F227" i="14"/>
  <c r="H227" i="14"/>
  <c r="C230" i="13"/>
  <c r="B230" i="13"/>
  <c r="D230" i="13"/>
  <c r="E230" i="13"/>
  <c r="F230" i="13"/>
  <c r="G230" i="13"/>
  <c r="H230" i="13"/>
  <c r="A228" i="14" a="1"/>
  <c r="A228" i="14" s="1"/>
  <c r="A231" i="13" a="1"/>
  <c r="A231" i="13" s="1"/>
  <c r="B228" i="14" l="1"/>
  <c r="D228" i="14"/>
  <c r="C228" i="14"/>
  <c r="G228" i="14"/>
  <c r="H228" i="14"/>
  <c r="E228" i="14"/>
  <c r="F228" i="14"/>
  <c r="D231" i="13"/>
  <c r="B231" i="13"/>
  <c r="C231" i="13"/>
  <c r="E231" i="13"/>
  <c r="G231" i="13"/>
  <c r="F231" i="13"/>
  <c r="H231" i="13"/>
  <c r="A229" i="14" a="1"/>
  <c r="A229" i="14" s="1"/>
  <c r="A232" i="13" a="1"/>
  <c r="A232" i="13" s="1"/>
  <c r="B229" i="14" l="1"/>
  <c r="D229" i="14"/>
  <c r="C229" i="14"/>
  <c r="G229" i="14"/>
  <c r="E229" i="14"/>
  <c r="F229" i="14"/>
  <c r="H229" i="14"/>
  <c r="C232" i="13"/>
  <c r="D232" i="13"/>
  <c r="B232" i="13"/>
  <c r="E232" i="13"/>
  <c r="F232" i="13"/>
  <c r="G232" i="13"/>
  <c r="H232" i="13"/>
  <c r="A230" i="14" a="1"/>
  <c r="A230" i="14" s="1"/>
  <c r="A233" i="13" a="1"/>
  <c r="A233" i="13" s="1"/>
  <c r="D230" i="14" l="1"/>
  <c r="B230" i="14"/>
  <c r="C230" i="14"/>
  <c r="H230" i="14"/>
  <c r="E230" i="14"/>
  <c r="F230" i="14"/>
  <c r="G230" i="14"/>
  <c r="B233" i="13"/>
  <c r="C233" i="13"/>
  <c r="D233" i="13"/>
  <c r="E233" i="13"/>
  <c r="G233" i="13"/>
  <c r="H233" i="13"/>
  <c r="F233" i="13"/>
  <c r="A231" i="14" a="1"/>
  <c r="A231" i="14" s="1"/>
  <c r="A234" i="13" a="1"/>
  <c r="A234" i="13" s="1"/>
  <c r="C231" i="14" l="1"/>
  <c r="D231" i="14"/>
  <c r="B231" i="14"/>
  <c r="G231" i="14"/>
  <c r="E231" i="14"/>
  <c r="F231" i="14"/>
  <c r="H231" i="14"/>
  <c r="B234" i="13"/>
  <c r="C234" i="13"/>
  <c r="D234" i="13"/>
  <c r="E234" i="13"/>
  <c r="F234" i="13"/>
  <c r="G234" i="13"/>
  <c r="H234" i="13"/>
  <c r="A232" i="14" a="1"/>
  <c r="A232" i="14" s="1"/>
  <c r="A235" i="13" a="1"/>
  <c r="A235" i="13" s="1"/>
  <c r="C232" i="14" l="1"/>
  <c r="B232" i="14"/>
  <c r="D232" i="14"/>
  <c r="E232" i="14"/>
  <c r="G232" i="14"/>
  <c r="H232" i="14"/>
  <c r="F232" i="14"/>
  <c r="B235" i="13"/>
  <c r="C235" i="13"/>
  <c r="D235" i="13"/>
  <c r="E235" i="13"/>
  <c r="G235" i="13"/>
  <c r="F235" i="13"/>
  <c r="H235" i="13"/>
  <c r="A233" i="14" a="1"/>
  <c r="A233" i="14" s="1"/>
  <c r="A236" i="13" a="1"/>
  <c r="A236" i="13" s="1"/>
  <c r="B233" i="14" l="1"/>
  <c r="C233" i="14"/>
  <c r="D233" i="14"/>
  <c r="G233" i="14"/>
  <c r="E233" i="14"/>
  <c r="F233" i="14"/>
  <c r="H233" i="14"/>
  <c r="B236" i="13"/>
  <c r="C236" i="13"/>
  <c r="D236" i="13"/>
  <c r="E236" i="13"/>
  <c r="F236" i="13"/>
  <c r="G236" i="13"/>
  <c r="H236" i="13"/>
  <c r="A234" i="14" a="1"/>
  <c r="A234" i="14" s="1"/>
  <c r="A237" i="13" a="1"/>
  <c r="A237" i="13" s="1"/>
  <c r="B234" i="14" l="1"/>
  <c r="C234" i="14"/>
  <c r="D234" i="14"/>
  <c r="G234" i="14"/>
  <c r="E234" i="14"/>
  <c r="F234" i="14"/>
  <c r="H234" i="14"/>
  <c r="D237" i="13"/>
  <c r="B237" i="13"/>
  <c r="C237" i="13"/>
  <c r="E237" i="13"/>
  <c r="G237" i="13"/>
  <c r="H237" i="13"/>
  <c r="F237" i="13"/>
  <c r="A235" i="14" a="1"/>
  <c r="A235" i="14" s="1"/>
  <c r="A238" i="13" a="1"/>
  <c r="A238" i="13" s="1"/>
  <c r="D235" i="14" l="1"/>
  <c r="B235" i="14"/>
  <c r="G235" i="14"/>
  <c r="C235" i="14"/>
  <c r="F235" i="14"/>
  <c r="H235" i="14"/>
  <c r="E235" i="14"/>
  <c r="B238" i="13"/>
  <c r="C238" i="13"/>
  <c r="D238" i="13"/>
  <c r="E238" i="13"/>
  <c r="F238" i="13"/>
  <c r="G238" i="13"/>
  <c r="H238" i="13"/>
  <c r="A236" i="14" a="1"/>
  <c r="A236" i="14" s="1"/>
  <c r="A239" i="13" a="1"/>
  <c r="A239" i="13" s="1"/>
  <c r="B236" i="14" l="1"/>
  <c r="C236" i="14"/>
  <c r="D236" i="14"/>
  <c r="H236" i="14"/>
  <c r="E236" i="14"/>
  <c r="F236" i="14"/>
  <c r="G236" i="14"/>
  <c r="B239" i="13"/>
  <c r="C239" i="13"/>
  <c r="D239" i="13"/>
  <c r="E239" i="13"/>
  <c r="G239" i="13"/>
  <c r="H239" i="13"/>
  <c r="F239" i="13"/>
  <c r="A237" i="14" a="1"/>
  <c r="A237" i="14" s="1"/>
  <c r="A240" i="13" a="1"/>
  <c r="A240" i="13" s="1"/>
  <c r="B237" i="14" l="1"/>
  <c r="C237" i="14"/>
  <c r="D237" i="14"/>
  <c r="G237" i="14"/>
  <c r="H237" i="14"/>
  <c r="E237" i="14"/>
  <c r="F237" i="14"/>
  <c r="C240" i="13"/>
  <c r="D240" i="13"/>
  <c r="B240" i="13"/>
  <c r="E240" i="13"/>
  <c r="F240" i="13"/>
  <c r="G240" i="13"/>
  <c r="H240" i="13"/>
  <c r="A238" i="14" a="1"/>
  <c r="A238" i="14" s="1"/>
  <c r="A241" i="13" a="1"/>
  <c r="A241" i="13" s="1"/>
  <c r="C238" i="14" l="1"/>
  <c r="D238" i="14"/>
  <c r="B238" i="14"/>
  <c r="E238" i="14"/>
  <c r="F238" i="14"/>
  <c r="G238" i="14"/>
  <c r="H238" i="14"/>
  <c r="B241" i="13"/>
  <c r="C241" i="13"/>
  <c r="D241" i="13"/>
  <c r="E241" i="13"/>
  <c r="G241" i="13"/>
  <c r="H241" i="13"/>
  <c r="F241" i="13"/>
  <c r="A239" i="14" a="1"/>
  <c r="A239" i="14" s="1"/>
  <c r="A242" i="13" a="1"/>
  <c r="A242" i="13" s="1"/>
  <c r="B239" i="14" l="1"/>
  <c r="C239" i="14"/>
  <c r="D239" i="14"/>
  <c r="G239" i="14"/>
  <c r="F239" i="14"/>
  <c r="E239" i="14"/>
  <c r="H239" i="14"/>
  <c r="B242" i="13"/>
  <c r="C242" i="13"/>
  <c r="D242" i="13"/>
  <c r="E242" i="13"/>
  <c r="G242" i="13"/>
  <c r="H242" i="13"/>
  <c r="F242" i="13"/>
  <c r="A240" i="14" a="1"/>
  <c r="A240" i="14" s="1"/>
  <c r="A243" i="13" a="1"/>
  <c r="A243" i="13" s="1"/>
  <c r="B240" i="14" l="1"/>
  <c r="C240" i="14"/>
  <c r="D240" i="14"/>
  <c r="E240" i="14"/>
  <c r="F240" i="14"/>
  <c r="G240" i="14"/>
  <c r="H240" i="14"/>
  <c r="B243" i="13"/>
  <c r="C243" i="13"/>
  <c r="D243" i="13"/>
  <c r="E243" i="13"/>
  <c r="G243" i="13"/>
  <c r="F243" i="13"/>
  <c r="H243" i="13"/>
  <c r="A241" i="14" a="1"/>
  <c r="A241" i="14" s="1"/>
  <c r="A244" i="13" a="1"/>
  <c r="A244" i="13" s="1"/>
  <c r="B241" i="14" l="1"/>
  <c r="C241" i="14"/>
  <c r="D241" i="14"/>
  <c r="G241" i="14"/>
  <c r="F241" i="14"/>
  <c r="E241" i="14"/>
  <c r="H241" i="14"/>
  <c r="B244" i="13"/>
  <c r="C244" i="13"/>
  <c r="D244" i="13"/>
  <c r="E244" i="13"/>
  <c r="G244" i="13"/>
  <c r="H244" i="13"/>
  <c r="F244" i="13"/>
  <c r="A242" i="14" a="1"/>
  <c r="A242" i="14" s="1"/>
  <c r="A245" i="13" a="1"/>
  <c r="A245" i="13" s="1"/>
  <c r="B242" i="14" l="1"/>
  <c r="C242" i="14"/>
  <c r="D242" i="14"/>
  <c r="F242" i="14"/>
  <c r="G242" i="14"/>
  <c r="H242" i="14"/>
  <c r="E242" i="14"/>
  <c r="D245" i="13"/>
  <c r="B245" i="13"/>
  <c r="C245" i="13"/>
  <c r="E245" i="13"/>
  <c r="G245" i="13"/>
  <c r="F245" i="13"/>
  <c r="H245" i="13"/>
  <c r="A243" i="14" a="1"/>
  <c r="A243" i="14" s="1"/>
  <c r="A246" i="13" a="1"/>
  <c r="A246" i="13" s="1"/>
  <c r="D243" i="14" l="1"/>
  <c r="B243" i="14"/>
  <c r="G243" i="14"/>
  <c r="C243" i="14"/>
  <c r="E243" i="14"/>
  <c r="F243" i="14"/>
  <c r="H243" i="14"/>
  <c r="B246" i="13"/>
  <c r="C246" i="13"/>
  <c r="D246" i="13"/>
  <c r="E246" i="13"/>
  <c r="G246" i="13"/>
  <c r="H246" i="13"/>
  <c r="F246" i="13"/>
  <c r="A244" i="14" a="1"/>
  <c r="A244" i="14" s="1"/>
  <c r="A247" i="13" a="1"/>
  <c r="A247" i="13" s="1"/>
  <c r="B244" i="14" l="1"/>
  <c r="C244" i="14"/>
  <c r="D244" i="14"/>
  <c r="G244" i="14"/>
  <c r="H244" i="14"/>
  <c r="E244" i="14"/>
  <c r="F244" i="14"/>
  <c r="B247" i="13"/>
  <c r="C247" i="13"/>
  <c r="D247" i="13"/>
  <c r="E247" i="13"/>
  <c r="G247" i="13"/>
  <c r="F247" i="13"/>
  <c r="H247" i="13"/>
  <c r="A245" i="14" a="1"/>
  <c r="A245" i="14" s="1"/>
  <c r="A248" i="13" a="1"/>
  <c r="A248" i="13" s="1"/>
  <c r="B245" i="14" l="1"/>
  <c r="C245" i="14"/>
  <c r="D245" i="14"/>
  <c r="G245" i="14"/>
  <c r="E245" i="14"/>
  <c r="F245" i="14"/>
  <c r="H245" i="14"/>
  <c r="C248" i="13"/>
  <c r="D248" i="13"/>
  <c r="B248" i="13"/>
  <c r="E248" i="13"/>
  <c r="G248" i="13"/>
  <c r="H248" i="13"/>
  <c r="F248" i="13"/>
  <c r="A246" i="14" a="1"/>
  <c r="A246" i="14" s="1"/>
  <c r="A249" i="13" a="1"/>
  <c r="A249" i="13" s="1"/>
  <c r="C246" i="14" l="1"/>
  <c r="D246" i="14"/>
  <c r="B246" i="14"/>
  <c r="H246" i="14"/>
  <c r="E246" i="14"/>
  <c r="F246" i="14"/>
  <c r="G246" i="14"/>
  <c r="B249" i="13"/>
  <c r="C249" i="13"/>
  <c r="D249" i="13"/>
  <c r="E249" i="13"/>
  <c r="G249" i="13"/>
  <c r="F249" i="13"/>
  <c r="H249" i="13"/>
  <c r="A247" i="14" a="1"/>
  <c r="A247" i="14" s="1"/>
  <c r="A250" i="13" a="1"/>
  <c r="A250" i="13" s="1"/>
  <c r="B247" i="14" l="1"/>
  <c r="C247" i="14"/>
  <c r="D247" i="14"/>
  <c r="G247" i="14"/>
  <c r="E247" i="14"/>
  <c r="F247" i="14"/>
  <c r="H247" i="14"/>
  <c r="B250" i="13"/>
  <c r="C250" i="13"/>
  <c r="D250" i="13"/>
  <c r="E250" i="13"/>
  <c r="G250" i="13"/>
  <c r="H250" i="13"/>
  <c r="F250" i="13"/>
  <c r="A248" i="14" a="1"/>
  <c r="A248" i="14" s="1"/>
  <c r="A251" i="13" a="1"/>
  <c r="A251" i="13" s="1"/>
  <c r="B248" i="14" l="1"/>
  <c r="C248" i="14"/>
  <c r="D248" i="14"/>
  <c r="E248" i="14"/>
  <c r="G248" i="14"/>
  <c r="F248" i="14"/>
  <c r="H248" i="14"/>
  <c r="B251" i="13"/>
  <c r="C251" i="13"/>
  <c r="D251" i="13"/>
  <c r="E251" i="13"/>
  <c r="G251" i="13"/>
  <c r="F251" i="13"/>
  <c r="H251" i="13"/>
  <c r="A249" i="14" a="1"/>
  <c r="A249" i="14" s="1"/>
  <c r="A252" i="13" a="1"/>
  <c r="A252" i="13" s="1"/>
  <c r="B249" i="14" l="1"/>
  <c r="C249" i="14"/>
  <c r="D249" i="14"/>
  <c r="G249" i="14"/>
  <c r="E249" i="14"/>
  <c r="F249" i="14"/>
  <c r="H249" i="14"/>
  <c r="B252" i="13"/>
  <c r="C252" i="13"/>
  <c r="D252" i="13"/>
  <c r="E252" i="13"/>
  <c r="G252" i="13"/>
  <c r="H252" i="13"/>
  <c r="F252" i="13"/>
  <c r="A250" i="14" a="1"/>
  <c r="A250" i="14" s="1"/>
  <c r="A253" i="13" a="1"/>
  <c r="A253" i="13" s="1"/>
  <c r="B250" i="14" l="1"/>
  <c r="C250" i="14"/>
  <c r="D250" i="14"/>
  <c r="G250" i="14"/>
  <c r="E250" i="14"/>
  <c r="F250" i="14"/>
  <c r="H250" i="14"/>
  <c r="D253" i="13"/>
  <c r="B253" i="13"/>
  <c r="C253" i="13"/>
  <c r="G253" i="13"/>
  <c r="E253" i="13"/>
  <c r="F253" i="13"/>
  <c r="H253" i="13"/>
  <c r="A251" i="14" a="1"/>
  <c r="A251" i="14" s="1"/>
  <c r="A254" i="13" a="1"/>
  <c r="A254" i="13" s="1"/>
  <c r="D251" i="14" l="1"/>
  <c r="B251" i="14"/>
  <c r="C251" i="14"/>
  <c r="G251" i="14"/>
  <c r="F251" i="14"/>
  <c r="H251" i="14"/>
  <c r="E251" i="14"/>
  <c r="B254" i="13"/>
  <c r="C254" i="13"/>
  <c r="D254" i="13"/>
  <c r="E254" i="13"/>
  <c r="G254" i="13"/>
  <c r="H254" i="13"/>
  <c r="F254" i="13"/>
  <c r="A252" i="14" a="1"/>
  <c r="A252" i="14" s="1"/>
  <c r="B252" i="14" l="1"/>
  <c r="C252" i="14"/>
  <c r="D252" i="14"/>
  <c r="E252" i="14"/>
  <c r="H252" i="14"/>
  <c r="F252" i="14"/>
  <c r="G252" i="14"/>
  <c r="A253" i="14" a="1"/>
  <c r="A253" i="14" s="1"/>
  <c r="B253" i="14" l="1"/>
  <c r="C253" i="14"/>
  <c r="D253" i="14"/>
  <c r="G253" i="14"/>
  <c r="H253" i="14"/>
  <c r="E253" i="14"/>
  <c r="F253" i="14"/>
  <c r="A254" i="14" a="1"/>
  <c r="A254" i="14" s="1"/>
  <c r="C254" i="14" l="1"/>
  <c r="D254" i="14"/>
  <c r="B254" i="14"/>
  <c r="E254" i="14"/>
  <c r="F254" i="14"/>
  <c r="G254" i="14"/>
  <c r="H254" i="14"/>
</calcChain>
</file>

<file path=xl/sharedStrings.xml><?xml version="1.0" encoding="utf-8"?>
<sst xmlns="http://schemas.openxmlformats.org/spreadsheetml/2006/main" count="3663" uniqueCount="1504">
  <si>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</si>
  <si>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</si>
  <si>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</si>
  <si>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</si>
  <si>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</si>
  <si>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</si>
  <si>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</si>
  <si>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</si>
  <si>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</si>
  <si>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</si>
  <si>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</si>
  <si>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</si>
  <si>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</si>
  <si>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</si>
  <si>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</si>
  <si>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</si>
  <si>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</si>
  <si>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</si>
  <si>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</si>
  <si>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</si>
  <si>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</si>
  <si>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</si>
  <si>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</si>
  <si>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</si>
  <si>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</si>
  <si>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</si>
  <si>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</si>
  <si>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</si>
  <si>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</si>
  <si>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</si>
  <si>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</si>
  <si>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</si>
  <si>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</si>
  <si>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</si>
  <si>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</si>
  <si>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</si>
  <si>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</si>
  <si>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</si>
  <si>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</si>
  <si>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</si>
  <si>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</si>
  <si>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</si>
  <si>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</si>
  <si>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</si>
  <si>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</si>
  <si>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</si>
  <si>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</si>
  <si>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</si>
  <si>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</si>
  <si>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</si>
  <si>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</si>
  <si>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</si>
  <si>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</si>
  <si>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</si>
  <si>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</si>
  <si>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</si>
  <si>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</si>
  <si>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</si>
  <si>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</si>
  <si>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</si>
  <si>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</si>
  <si>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</si>
  <si>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</si>
  <si>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</si>
  <si>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</si>
  <si>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</si>
  <si>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</si>
  <si>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</si>
  <si>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</si>
  <si>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</si>
  <si>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</si>
  <si>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</si>
  <si>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</si>
  <si>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</si>
  <si>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</si>
  <si>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</si>
  <si>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</si>
  <si>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</si>
  <si>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</si>
  <si>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</si>
  <si>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</si>
  <si>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</si>
  <si>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</si>
  <si>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</si>
  <si>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</si>
  <si>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</si>
  <si>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</si>
  <si>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</si>
  <si>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</si>
  <si>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</si>
  <si>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</si>
  <si>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</si>
  <si>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</si>
  <si>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</si>
  <si>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</si>
  <si>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</si>
  <si>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</si>
  <si>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</si>
  <si>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</si>
  <si>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</si>
  <si>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</si>
  <si>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</si>
  <si>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</si>
  <si>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</si>
  <si>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</si>
  <si>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</si>
  <si>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</si>
  <si>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</si>
  <si>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</si>
  <si>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</si>
  <si>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</si>
  <si>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</si>
  <si>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</si>
  <si>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</si>
  <si>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</si>
  <si>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</si>
  <si>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</si>
  <si>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</si>
  <si>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</si>
  <si>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</si>
  <si>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</si>
  <si>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</si>
  <si>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</si>
  <si>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</si>
  <si>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</si>
  <si>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</si>
  <si>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</si>
  <si>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</si>
  <si>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</si>
  <si>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</si>
  <si>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</si>
  <si>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</si>
  <si>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</si>
  <si>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</si>
  <si>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</si>
  <si>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</si>
  <si>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</si>
  <si>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</si>
  <si>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</si>
  <si>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</si>
  <si>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</si>
  <si>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</si>
  <si>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</si>
  <si>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</si>
  <si>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</si>
  <si>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</si>
  <si>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</si>
  <si>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</si>
  <si>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</si>
  <si>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</si>
  <si>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</si>
  <si>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</si>
  <si>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</si>
  <si>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</si>
  <si>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</si>
  <si>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</si>
  <si>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</si>
  <si>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</si>
  <si>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</si>
  <si>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</si>
  <si>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</si>
  <si>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</si>
  <si>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</si>
  <si>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</si>
  <si>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</si>
  <si>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</si>
  <si>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</si>
  <si>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</si>
  <si>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</si>
  <si>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</si>
  <si>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</si>
  <si>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</si>
  <si>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</si>
  <si>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</si>
  <si>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</si>
  <si>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</si>
  <si>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</si>
  <si>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</si>
  <si>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</si>
  <si>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</si>
  <si>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</si>
  <si>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</si>
  <si>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</si>
  <si>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</si>
  <si>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</si>
  <si>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</si>
  <si>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</si>
  <si>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</si>
  <si>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</si>
  <si>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</si>
  <si>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</si>
  <si>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</si>
  <si>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</si>
  <si>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</si>
  <si>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</si>
  <si>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</si>
  <si>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</si>
  <si>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</si>
  <si>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</si>
  <si>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</si>
  <si>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</si>
  <si>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</si>
  <si>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</si>
  <si>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</si>
  <si>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</si>
  <si>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</si>
  <si>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</si>
  <si>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</si>
  <si>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</si>
  <si>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</si>
  <si>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</si>
  <si>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</si>
  <si>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</si>
  <si>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</si>
  <si>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</si>
  <si>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</si>
  <si>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</si>
  <si>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</si>
  <si>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</si>
  <si>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</si>
  <si>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</si>
  <si>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</si>
  <si>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</si>
  <si>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</si>
  <si>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</si>
  <si>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</si>
  <si>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</si>
  <si>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</si>
  <si>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</si>
  <si>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</si>
  <si>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</si>
  <si>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</si>
  <si>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</si>
  <si>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</si>
  <si>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</si>
  <si>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</si>
  <si>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</si>
  <si>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</si>
  <si>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</si>
  <si>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</si>
  <si>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</si>
  <si>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</si>
  <si>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</si>
  <si>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</si>
  <si>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</si>
  <si>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</si>
  <si>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</si>
  <si>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</si>
  <si>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</si>
  <si>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</si>
  <si>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</si>
  <si>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</si>
  <si>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</si>
  <si>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</si>
  <si>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</si>
  <si>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</si>
  <si>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</si>
  <si>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</si>
  <si>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</si>
  <si>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</si>
  <si>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</si>
  <si>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</si>
  <si>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</si>
  <si>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</si>
  <si>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</si>
  <si>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</si>
  <si>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</si>
  <si>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</si>
  <si>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</si>
  <si>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</si>
  <si>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</si>
  <si>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</si>
  <si>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</si>
  <si>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</si>
  <si>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</si>
  <si>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</si>
  <si>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</si>
  <si>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</si>
  <si>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</si>
  <si>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</si>
  <si>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</si>
  <si>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</si>
  <si>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</si>
  <si>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</si>
  <si>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</si>
  <si>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</si>
  <si>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</si>
  <si>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</si>
  <si>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</si>
  <si>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</si>
  <si>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</si>
  <si>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</si>
  <si>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</si>
  <si>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</si>
  <si>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</si>
  <si>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</si>
  <si>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</si>
  <si>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</si>
  <si>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</si>
  <si>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</si>
  <si>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</si>
  <si>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</si>
  <si>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</si>
  <si>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</si>
  <si>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</si>
  <si>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</si>
  <si>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</si>
  <si>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</si>
  <si>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</si>
  <si>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</si>
  <si>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</si>
  <si>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</si>
  <si>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</si>
  <si>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</si>
  <si>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</si>
  <si>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</si>
  <si>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</si>
  <si>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</si>
  <si>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</si>
  <si>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</si>
  <si>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</si>
  <si>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</si>
  <si>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</si>
  <si>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</si>
  <si>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</si>
  <si>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</si>
  <si>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</si>
  <si>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</si>
  <si>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</si>
  <si>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</si>
  <si>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</si>
  <si>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</si>
  <si>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</si>
  <si>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</si>
  <si>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</si>
  <si>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</si>
  <si>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</si>
  <si>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</si>
  <si>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</si>
  <si>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</si>
  <si>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</si>
  <si>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</si>
  <si>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</si>
  <si>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</si>
  <si>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</si>
  <si>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</si>
  <si>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</si>
  <si>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</si>
  <si>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</si>
  <si>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</si>
  <si>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</si>
  <si>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</si>
  <si>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</si>
  <si>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</si>
  <si>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</si>
  <si>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</si>
  <si>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</si>
  <si>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</si>
  <si>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</si>
  <si>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</si>
  <si>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</si>
  <si>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</si>
  <si>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</si>
  <si>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</si>
  <si>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</si>
  <si>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</si>
  <si>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</si>
  <si>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</si>
  <si>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</si>
  <si>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</si>
  <si>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</si>
  <si>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</si>
  <si>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</si>
  <si>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</si>
  <si>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</si>
  <si>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</si>
  <si>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</si>
  <si>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</si>
  <si>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</si>
  <si>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</si>
  <si>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</si>
  <si>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</si>
  <si>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</si>
  <si>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</si>
  <si>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</si>
  <si>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</si>
  <si>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</si>
  <si>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</si>
  <si>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</si>
  <si>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</si>
  <si>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</si>
  <si>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</si>
  <si>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</si>
  <si>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</si>
  <si>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</si>
  <si>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</si>
  <si>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</si>
  <si>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</si>
  <si>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</si>
  <si>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</si>
  <si>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</si>
  <si>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</si>
  <si>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</si>
  <si>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</si>
  <si>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</si>
  <si>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</si>
  <si>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</si>
  <si>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</si>
  <si>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</si>
  <si>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</si>
  <si>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</si>
  <si>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</si>
  <si>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</si>
  <si>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</si>
  <si>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</si>
  <si>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</si>
  <si>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</si>
  <si>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</si>
  <si>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</si>
  <si>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</si>
  <si>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</si>
  <si>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</si>
  <si>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</si>
  <si>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</si>
  <si>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</si>
  <si>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</si>
  <si>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</si>
  <si>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</si>
  <si>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</si>
  <si>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</si>
  <si>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</si>
  <si>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</si>
  <si>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</si>
  <si>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</si>
  <si>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</si>
  <si>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</si>
  <si>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</si>
  <si>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</si>
  <si>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</si>
  <si>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</si>
  <si>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</si>
  <si>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</si>
  <si>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</si>
  <si>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</si>
  <si>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</si>
  <si>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</si>
  <si>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</si>
  <si>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</si>
  <si>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</si>
  <si>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</si>
  <si>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</si>
  <si>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</si>
  <si>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</si>
  <si>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</si>
  <si>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</si>
  <si>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</si>
  <si>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</si>
  <si>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</si>
  <si>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</si>
  <si>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</si>
  <si>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</si>
  <si>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</si>
  <si>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</si>
  <si>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</si>
  <si>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</si>
  <si>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</si>
  <si>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</si>
  <si>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</si>
  <si>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</si>
  <si>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</si>
  <si>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</si>
  <si>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</si>
  <si>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</si>
  <si>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</si>
  <si>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</si>
  <si>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</si>
  <si>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</si>
  <si>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</si>
  <si>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</si>
  <si>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</si>
  <si>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</si>
  <si>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</si>
  <si>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</si>
  <si>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</si>
  <si>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</si>
  <si>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</si>
  <si>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</si>
  <si>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</si>
  <si>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</si>
  <si>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</si>
  <si>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</si>
  <si>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</si>
  <si>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</si>
  <si>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</si>
  <si>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</si>
  <si>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</si>
  <si>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</si>
  <si>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</si>
  <si>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</si>
  <si>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</si>
  <si>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</si>
  <si>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</si>
  <si>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</si>
  <si>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</si>
  <si>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</si>
  <si>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</si>
  <si>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</si>
  <si>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</si>
  <si>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</si>
  <si>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</si>
  <si>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</si>
  <si>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</si>
  <si>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</si>
  <si>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</si>
  <si>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</si>
  <si>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</si>
  <si>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</si>
  <si>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</si>
  <si>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</si>
  <si>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</si>
  <si>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</si>
  <si>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</si>
  <si>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</si>
  <si>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</si>
  <si>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</si>
  <si>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</si>
  <si>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</si>
  <si>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</si>
  <si>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</si>
  <si>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</si>
  <si>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</si>
  <si>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</si>
  <si>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</si>
  <si>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</si>
  <si>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</si>
  <si>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</si>
  <si>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</si>
  <si>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</si>
  <si>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</si>
  <si>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</si>
  <si>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</si>
  <si>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</si>
  <si>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</si>
  <si>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</si>
  <si>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</si>
  <si>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</si>
  <si>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</si>
  <si>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</si>
  <si>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</si>
  <si>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</si>
  <si>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</si>
  <si>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</si>
  <si>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</si>
  <si>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</si>
  <si>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</si>
  <si>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</si>
  <si>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</si>
  <si>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</si>
  <si>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</si>
  <si>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</si>
  <si>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</si>
  <si>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</si>
  <si>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</si>
  <si>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</si>
  <si>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</si>
  <si>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</si>
  <si>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</si>
  <si>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</si>
  <si>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</si>
  <si>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</si>
  <si>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</si>
  <si>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</si>
  <si>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</si>
  <si>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</si>
  <si>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</si>
  <si>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</si>
  <si>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</si>
  <si>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</si>
  <si>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</si>
  <si>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</si>
  <si>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</si>
  <si>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</si>
  <si>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</si>
  <si>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</si>
  <si>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</si>
  <si>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</si>
  <si>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</si>
  <si>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</si>
  <si>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</si>
  <si>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</si>
  <si>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</si>
  <si>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</si>
  <si>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</si>
  <si>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</si>
  <si>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</si>
  <si>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</si>
  <si>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</si>
  <si>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</si>
  <si>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</si>
  <si>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</si>
  <si>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</si>
  <si>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</si>
  <si>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</si>
  <si>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</si>
  <si>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</si>
  <si>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</si>
  <si>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</si>
  <si>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</si>
  <si>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</si>
  <si>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</si>
  <si>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</si>
  <si>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</si>
  <si>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</si>
  <si>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London Power Networks</t>
  </si>
  <si>
    <t>11:00 - 14:00
16:00 - 19:00</t>
  </si>
  <si>
    <t>07:00 - 11:00
14:00 - 16:00
19:00 - 23:00</t>
  </si>
  <si>
    <t>00:00 - 07:00
23:00 - 24:00</t>
  </si>
  <si>
    <t>00:00 - 24:00</t>
  </si>
  <si>
    <t>11:00 - 14:00</t>
  </si>
  <si>
    <t>07:00 - 11:00
14:00 - 23:00</t>
  </si>
  <si>
    <t>16:00 - 19:00</t>
  </si>
  <si>
    <t>07:00 - 16:00
19:00 - 23:00</t>
  </si>
  <si>
    <t>Monday to Friday 
(Including Bank Holidays)
March, April, May and September, October</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</si>
  <si>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</si>
  <si>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</si>
  <si>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</si>
  <si>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</si>
  <si>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</si>
  <si>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</si>
  <si>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</si>
  <si>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</si>
  <si>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</si>
  <si>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</si>
  <si>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</si>
  <si>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</si>
  <si>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</si>
  <si>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</si>
  <si>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</si>
  <si>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</si>
  <si>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Import
LLF
period 5</t>
  </si>
  <si>
    <t>Export
LLF
period 5</t>
  </si>
  <si>
    <t>Eligible Bad Debt
Fixed charge adder**
p/MPAN/day</t>
  </si>
  <si>
    <t>Note: The DNO reserves the right to apply the listed charges to any other MPANs/MSIDs associated with the site. This includes reallocating charges to a traded MPAN at the same site where another MPAN has been disconnected or de-energised.</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</si>
  <si>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</si>
  <si>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</si>
  <si>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</si>
  <si>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</si>
  <si>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</si>
  <si>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CVA site specific LLFs</t>
  </si>
  <si>
    <t>MSID</t>
  </si>
  <si>
    <t>Open LLFCs/ DUoS Tariff IDs</t>
  </si>
  <si>
    <t>Closed LLFCs/ DUoS Tariff IDs</t>
  </si>
  <si>
    <t>LLFC/ DUoS Tariff ID</t>
  </si>
  <si>
    <t>Supercustomer preserved charges/additional LLFCs/ DUoS Tariff IDs</t>
  </si>
  <si>
    <t>Site Specific preserved charges/additional LLFCs/ DUoS Tariff IDs</t>
  </si>
  <si>
    <t>Open LLFCs/ DUoS Tariff IDs / LDNO unique billing identifier</t>
  </si>
  <si>
    <t>London Power Networks has no Preserved NHH Tariffs/Additional LLFCs/DUoS Tariff IDs</t>
  </si>
  <si>
    <t>London Power Networks has no Preserved HH Tariffs/Additional LLFCs/DUoS Tariff IDs</t>
  </si>
  <si>
    <t>Metered voltage, respective periods and associated LLFCs/DUoS Tariff IDs</t>
  </si>
  <si>
    <t>Associated LLFC/DUoS Tariff ID</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</si>
  <si>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</si>
  <si>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</si>
  <si>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</si>
  <si>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</si>
  <si>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</si>
  <si>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</si>
  <si>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Residual Charge per Fixed Charge** (p/day)</t>
  </si>
  <si>
    <t>Residual Charge per Unit rate 1** (p/kWh)</t>
  </si>
  <si>
    <t>Residual Charge per Unit rate 2** (p/kWh)</t>
  </si>
  <si>
    <t>Residual Charge per Unit rate 3** (p/kWh)</t>
  </si>
  <si>
    <t>**Residual charge element in London Power Networks CDCM model is negative and therefore the application of the residual reduces the calculated fixed charge. If the fixed charge reaches zero then the remaining reduction is applied to the unit rates.</t>
  </si>
  <si>
    <t>2027/28</t>
  </si>
  <si>
    <t>1 April 2027</t>
  </si>
  <si>
    <t>0, 1, 2</t>
  </si>
  <si>
    <t>0, 3, 4, 5-8</t>
  </si>
  <si>
    <t>201, N01</t>
  </si>
  <si>
    <t>202, N02</t>
  </si>
  <si>
    <t>203, N03</t>
  </si>
  <si>
    <t>204, N04</t>
  </si>
  <si>
    <t xml:space="preserve">350, 420, 421, 422, 423 </t>
  </si>
  <si>
    <t>0, 1 or 8</t>
  </si>
  <si>
    <t>424, 425, 426, 427, 428, 429, 430, 431, 432, 433, 434, 435</t>
  </si>
  <si>
    <t>0, 8</t>
  </si>
  <si>
    <t>Non-Domestic Aggregated (Related MPAN)</t>
  </si>
  <si>
    <t>LV Generation Site Specific no RP Charge</t>
  </si>
  <si>
    <t>LV Sub Generation Site Specific no RP Charge</t>
  </si>
  <si>
    <t>HV Generation Site Specific no RP Charge</t>
  </si>
  <si>
    <t>LDNO HVplus: Domestic Aggregated (Related MPAN)</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</si>
  <si>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</si>
  <si>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</si>
  <si>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</si>
  <si>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</si>
  <si>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</si>
  <si>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</si>
  <si>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</si>
  <si>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 (Related MPAN)</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</si>
  <si>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</si>
  <si>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</si>
  <si>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</si>
  <si>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</si>
  <si>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</si>
  <si>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</si>
  <si>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</si>
  <si>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 (Related MPAN)</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</si>
  <si>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</si>
  <si>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</si>
  <si>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</si>
  <si>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</si>
  <si>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</si>
  <si>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</si>
  <si>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</si>
  <si>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 (Related MPAN)</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</si>
  <si>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</si>
  <si>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</si>
  <si>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</si>
  <si>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</si>
  <si>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</si>
  <si>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</si>
  <si>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</si>
  <si>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 (Related MPAN)</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</si>
  <si>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</si>
  <si>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</si>
  <si>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</si>
  <si>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</si>
  <si>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</si>
  <si>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</si>
  <si>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</si>
  <si>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LDNO LV: Domestic Aggregated (Related MPAN)</t>
  </si>
  <si>
    <t>LDNO LV: Non-Domestic Aggregated (Related MPAN)</t>
  </si>
  <si>
    <t>LDNO LV: Unmetered Supplies</t>
  </si>
  <si>
    <t>LDNO LV: LV Generation Aggregated</t>
  </si>
  <si>
    <t>LDNO LV: LV Generation Site Specific</t>
  </si>
  <si>
    <t>LDNO HV: Domestic Aggregated (Related MPAN)</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</si>
  <si>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</si>
  <si>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</si>
  <si>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</si>
  <si>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</si>
  <si>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</si>
  <si>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</si>
  <si>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</si>
  <si>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</si>
  <si>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</si>
  <si>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</si>
  <si>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</si>
  <si>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</si>
  <si>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</si>
  <si>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</si>
  <si>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</si>
  <si>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</si>
  <si>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</si>
  <si>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</si>
  <si>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</si>
  <si>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</si>
  <si>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</si>
  <si>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</si>
  <si>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</si>
  <si>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</si>
  <si>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</si>
  <si>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</si>
  <si>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</si>
  <si>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</si>
  <si>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</si>
  <si>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</si>
  <si>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</si>
  <si>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</si>
  <si>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</si>
  <si>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</si>
  <si>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</si>
  <si>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</si>
  <si>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</si>
  <si>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</si>
  <si>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</si>
  <si>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</si>
  <si>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</si>
  <si>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</si>
  <si>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</si>
  <si>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</si>
  <si>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</si>
  <si>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</si>
  <si>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</si>
  <si>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</si>
  <si>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</si>
  <si>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</si>
  <si>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</si>
  <si>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</si>
  <si>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</si>
  <si>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</si>
  <si>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</si>
  <si>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</si>
  <si>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</si>
  <si>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</si>
  <si>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</si>
  <si>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</si>
  <si>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</si>
  <si>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</si>
  <si>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</si>
  <si>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</si>
  <si>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</si>
  <si>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</si>
  <si>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</si>
  <si>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</si>
  <si>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</si>
  <si>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</si>
  <si>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</si>
  <si>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</si>
  <si>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</si>
  <si>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</si>
  <si>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</si>
  <si>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</si>
  <si>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</si>
  <si>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</si>
  <si>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</si>
  <si>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</si>
  <si>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</si>
  <si>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</si>
  <si>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</si>
  <si>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</si>
  <si>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</si>
  <si>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</si>
  <si>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</si>
  <si>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</si>
  <si>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</si>
  <si>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</si>
  <si>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</si>
  <si>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</si>
  <si>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</si>
  <si>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</si>
  <si>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</si>
  <si>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</si>
  <si>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</si>
  <si>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</si>
  <si>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</si>
  <si>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</si>
  <si>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</si>
  <si>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</si>
  <si>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</si>
  <si>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</si>
  <si>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</si>
  <si>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</si>
  <si>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</si>
  <si>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</si>
  <si>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</si>
  <si>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</si>
  <si>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</si>
  <si>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</si>
  <si>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</si>
  <si>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</si>
  <si>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</si>
  <si>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</si>
  <si>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</si>
  <si>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</si>
  <si>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</si>
  <si>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</si>
  <si>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</si>
  <si>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</si>
  <si>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</si>
  <si>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</si>
  <si>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</si>
  <si>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</si>
  <si>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</si>
  <si>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</si>
  <si>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</si>
  <si>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</si>
  <si>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</si>
  <si>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</si>
  <si>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</si>
  <si>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</si>
  <si>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</si>
  <si>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</si>
  <si>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</si>
  <si>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</si>
  <si>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</si>
  <si>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</si>
  <si>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</si>
  <si>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</si>
  <si>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</si>
  <si>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</si>
  <si>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</si>
  <si>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</si>
  <si>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</si>
  <si>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</si>
  <si>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</si>
  <si>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</si>
  <si>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</si>
  <si>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</si>
  <si>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</si>
  <si>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</si>
  <si>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</si>
  <si>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</si>
  <si>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</si>
  <si>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</si>
  <si>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</si>
  <si>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</si>
  <si>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</si>
  <si>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</si>
  <si>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</si>
  <si>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</si>
  <si>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</si>
  <si>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</si>
  <si>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</si>
  <si>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</si>
  <si>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</si>
  <si>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</si>
  <si>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</si>
  <si>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</si>
  <si>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</si>
  <si>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</si>
  <si>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</si>
  <si>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</si>
  <si>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</si>
  <si>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</si>
  <si>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</si>
  <si>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</si>
  <si>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</si>
  <si>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</si>
  <si>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</si>
  <si>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</si>
  <si>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</si>
  <si>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</si>
  <si>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</si>
  <si>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</si>
  <si>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</si>
  <si>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</si>
  <si>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</si>
  <si>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</si>
  <si>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</si>
  <si>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</si>
  <si>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</si>
  <si>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</si>
  <si>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</si>
  <si>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21MOOR</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</si>
  <si>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</si>
  <si>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</si>
  <si>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</si>
  <si>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</si>
  <si>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</si>
  <si>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</si>
  <si>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</si>
  <si>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</si>
  <si>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</si>
  <si>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</si>
  <si>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</si>
  <si>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</si>
  <si>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</si>
  <si>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</si>
  <si>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</si>
  <si>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</si>
  <si>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</si>
  <si>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</si>
  <si>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</si>
  <si>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</si>
  <si>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</si>
  <si>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</si>
  <si>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</si>
  <si>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</si>
  <si>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</si>
  <si>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</si>
  <si>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</si>
  <si>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</si>
  <si>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</si>
  <si>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</si>
  <si>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</si>
  <si>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</si>
  <si>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</si>
  <si>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</si>
  <si>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</si>
  <si>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</si>
  <si>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</si>
  <si>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</si>
  <si>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</si>
  <si>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</si>
  <si>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TWKIRT</t>
  </si>
  <si>
    <t>VOLTDC</t>
  </si>
  <si>
    <t>BELVE2</t>
  </si>
  <si>
    <t>BELVED</t>
  </si>
  <si>
    <t>SELCHP</t>
  </si>
  <si>
    <t>TLRSLN</t>
  </si>
  <si>
    <t>1200062747376;1200062747385</t>
  </si>
  <si>
    <t>1200062355497;1200062355502</t>
  </si>
  <si>
    <t/>
  </si>
  <si>
    <t>1200061143976;1200061143985</t>
  </si>
  <si>
    <t>1200061385700;1200061385710</t>
  </si>
  <si>
    <t>1200061385729;1200061385738</t>
  </si>
  <si>
    <t>1200061148014;1200061148023</t>
  </si>
  <si>
    <t>1200061148060;1200061148079</t>
  </si>
  <si>
    <t>1200062090483;1200062090492</t>
  </si>
  <si>
    <t>1200062132159;1200062132168</t>
  </si>
  <si>
    <t>1200061144029;1200061144038</t>
  </si>
  <si>
    <t>1200050913681;1200050913690;1200050913706;1200050913715</t>
  </si>
  <si>
    <t>1200061144065;1200061144074</t>
  </si>
  <si>
    <t>1200062132006;1200062132015</t>
  </si>
  <si>
    <t>1200061148194;1200061148200</t>
  </si>
  <si>
    <t>1200061953070;1200061953089</t>
  </si>
  <si>
    <t>1200060323207;1200060323216</t>
  </si>
  <si>
    <t>1200061231921;1200061231930;1200061231940;1200061231959</t>
  </si>
  <si>
    <t>1200050376902;1200050376911</t>
  </si>
  <si>
    <t>1200010157225;1200010157234</t>
  </si>
  <si>
    <t>1200061378624;1200061378633</t>
  </si>
  <si>
    <t>1200010151863;1200010151872</t>
  </si>
  <si>
    <t>1200060280440;1200060280468</t>
  </si>
  <si>
    <t>1200060280430;1200060280459</t>
  </si>
  <si>
    <t>1200060951114;1200060951123</t>
  </si>
  <si>
    <t>1200010146153;1200010146162;1200010146171;1200061197703</t>
  </si>
  <si>
    <t>1200050312030;1200050312040;1200061219394;1200050312059</t>
  </si>
  <si>
    <t>1200061171324;1200061171333</t>
  </si>
  <si>
    <t>1200061171342;1200061171351</t>
  </si>
  <si>
    <t>1200061999491;1200061999507;1200062001242;1200062001251</t>
  </si>
  <si>
    <t>1200061148032;1200061148041</t>
  </si>
  <si>
    <t>MSID: 1630</t>
  </si>
  <si>
    <t>MSID: 1032</t>
  </si>
  <si>
    <t>MSID: 1628</t>
  </si>
  <si>
    <t>MSID: 1027</t>
  </si>
  <si>
    <t>MSID: 1631</t>
  </si>
  <si>
    <t>MSID: 5538</t>
  </si>
  <si>
    <t>ABPA51</t>
  </si>
  <si>
    <t>Aberdeen Pl A 11kV</t>
  </si>
  <si>
    <t>ABPA52</t>
  </si>
  <si>
    <t>ABPB51</t>
  </si>
  <si>
    <t>Aberdeen Pl B 11kV</t>
  </si>
  <si>
    <t>ACTL81</t>
  </si>
  <si>
    <t>Acton Lane 22kV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</si>
  <si>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</si>
  <si>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</si>
  <si>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</si>
  <si>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</si>
  <si>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</si>
  <si>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</si>
  <si>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</si>
  <si>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</si>
  <si>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</si>
  <si>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</si>
  <si>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</si>
  <si>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</si>
  <si>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</si>
  <si>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</si>
  <si>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</si>
  <si>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</si>
  <si>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</si>
  <si>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BARK11</t>
  </si>
  <si>
    <t>Barking 132kV GIS</t>
  </si>
  <si>
    <t>BARW31</t>
  </si>
  <si>
    <t>Barking West 33kV</t>
  </si>
  <si>
    <t>BARW51</t>
  </si>
  <si>
    <t>Barking West 11kV</t>
  </si>
  <si>
    <t>BARW52</t>
  </si>
  <si>
    <t>BDGE31</t>
  </si>
  <si>
    <t>LPN 0014</t>
  </si>
  <si>
    <t>BDGW31</t>
  </si>
  <si>
    <t>LPN 0015</t>
  </si>
  <si>
    <t>BECS31</t>
  </si>
  <si>
    <t>LPN 0007</t>
  </si>
  <si>
    <t>BEEA51</t>
  </si>
  <si>
    <t>Beech St A 11kV</t>
  </si>
  <si>
    <t>BEEB51</t>
  </si>
  <si>
    <t>Beech St B 11kV</t>
  </si>
  <si>
    <t>BEEB52</t>
  </si>
  <si>
    <t>BEEB53</t>
  </si>
  <si>
    <t>BENR51</t>
  </si>
  <si>
    <t>Bengeworth Rd 11kV</t>
  </si>
  <si>
    <t>BENR52</t>
  </si>
  <si>
    <t>BISE31</t>
  </si>
  <si>
    <t>LPN 0066</t>
  </si>
  <si>
    <t>BISW31</t>
  </si>
  <si>
    <t>LPN 0065</t>
  </si>
  <si>
    <t>BKWY51</t>
  </si>
  <si>
    <t>Blackwall Way 11kV</t>
  </si>
  <si>
    <t>BKWY52</t>
  </si>
  <si>
    <t>BLHL51</t>
  </si>
  <si>
    <t>Blackhorse Lane 11kV</t>
  </si>
  <si>
    <t>BLOP71</t>
  </si>
  <si>
    <t>Bloomfield Place 6.6kV</t>
  </si>
  <si>
    <t>BLOP72</t>
  </si>
  <si>
    <t>BNSB71</t>
  </si>
  <si>
    <t>Barnes B 6.6kV</t>
  </si>
  <si>
    <t>BNSB72</t>
  </si>
  <si>
    <t>BOWC51</t>
  </si>
  <si>
    <t>LPN 0023</t>
  </si>
  <si>
    <t>BOWC52</t>
  </si>
  <si>
    <t>BOWC53</t>
  </si>
  <si>
    <t>BOWC54</t>
  </si>
  <si>
    <t>BOWS51</t>
  </si>
  <si>
    <t>Bow 11kV</t>
  </si>
  <si>
    <t>BOWS52</t>
  </si>
  <si>
    <t>BREN81</t>
  </si>
  <si>
    <t>LPN 0001</t>
  </si>
  <si>
    <t>BROA51</t>
  </si>
  <si>
    <t>Broadway 11kV</t>
  </si>
  <si>
    <t>BROA52</t>
  </si>
  <si>
    <t>BROS51</t>
  </si>
  <si>
    <t>Bromley South 11kV</t>
  </si>
  <si>
    <t>BROS52</t>
  </si>
  <si>
    <t>BRXB51</t>
  </si>
  <si>
    <t>Brixton B 11kV</t>
  </si>
  <si>
    <t>BRXB52</t>
  </si>
  <si>
    <t>BTPN31</t>
  </si>
  <si>
    <t>LPN 0033</t>
  </si>
  <si>
    <t>BTPS31</t>
  </si>
  <si>
    <t>LPN 0032</t>
  </si>
  <si>
    <t>BULS51</t>
  </si>
  <si>
    <t>Bulwer St 11kV</t>
  </si>
  <si>
    <t>BULS52</t>
  </si>
  <si>
    <t>BURL51</t>
  </si>
  <si>
    <t>Burlington Rd 11kV</t>
  </si>
  <si>
    <t>BURL52</t>
  </si>
  <si>
    <t>BWNR81</t>
  </si>
  <si>
    <t>LPN 0022</t>
  </si>
  <si>
    <t>CALS51</t>
  </si>
  <si>
    <t>Calshot St 11kV</t>
  </si>
  <si>
    <t>CALS52</t>
  </si>
  <si>
    <t>CANE31</t>
  </si>
  <si>
    <t>LPN 0026</t>
  </si>
  <si>
    <t>CANS51</t>
  </si>
  <si>
    <t>LPN 0011</t>
  </si>
  <si>
    <t>CARC51</t>
  </si>
  <si>
    <t>Carnaby St C 11kV</t>
  </si>
  <si>
    <t>CARK51</t>
  </si>
  <si>
    <t>Carslake Rd 11kV</t>
  </si>
  <si>
    <t>CARK52</t>
  </si>
  <si>
    <t>CARN51</t>
  </si>
  <si>
    <t>Carnaby St 11 kV</t>
  </si>
  <si>
    <t>CARN52</t>
  </si>
  <si>
    <t>CHAP81</t>
  </si>
  <si>
    <t>LPN 0030</t>
  </si>
  <si>
    <t>CHAT51</t>
  </si>
  <si>
    <t>LPN 0021</t>
  </si>
  <si>
    <t>CHAT52</t>
  </si>
  <si>
    <t>CHAX71</t>
  </si>
  <si>
    <t>LPN 0013</t>
  </si>
  <si>
    <t>CHSB31</t>
  </si>
  <si>
    <t>LPN 0024</t>
  </si>
  <si>
    <t>CHSL51</t>
  </si>
  <si>
    <t>Chislehurst 11kV</t>
  </si>
  <si>
    <t>CHSL52</t>
  </si>
  <si>
    <t>CHUR51</t>
  </si>
  <si>
    <t>Churchfields 11kV</t>
  </si>
  <si>
    <t>CHUR52</t>
  </si>
  <si>
    <t>CITB51</t>
  </si>
  <si>
    <t>City Rd B 11kV</t>
  </si>
  <si>
    <t>CITB52</t>
  </si>
  <si>
    <t>CITB53</t>
  </si>
  <si>
    <t>CITC51</t>
  </si>
  <si>
    <t>City Rd C 11kV</t>
  </si>
  <si>
    <t>CITC52</t>
  </si>
  <si>
    <t>CLAP51</t>
  </si>
  <si>
    <t>Clapham Park Rd 11kV</t>
  </si>
  <si>
    <t>CLAP52</t>
  </si>
  <si>
    <t>CLAR51</t>
  </si>
  <si>
    <t>Clarks Rd B 11kV</t>
  </si>
  <si>
    <t>CLAR52</t>
  </si>
  <si>
    <t>CORA51</t>
  </si>
  <si>
    <t>LPN 0034</t>
  </si>
  <si>
    <t>CRAY51</t>
  </si>
  <si>
    <t>Crayford 11kV</t>
  </si>
  <si>
    <t>CRAY52</t>
  </si>
  <si>
    <t>CRSN31</t>
  </si>
  <si>
    <t>LPN 0009</t>
  </si>
  <si>
    <t>CSBN31</t>
  </si>
  <si>
    <t>LPN 0047</t>
  </si>
  <si>
    <t>CSBS31</t>
  </si>
  <si>
    <t>LPN 0046</t>
  </si>
  <si>
    <t>DARA31</t>
  </si>
  <si>
    <t>Dartford Grid A 33kV</t>
  </si>
  <si>
    <t>DARB51</t>
  </si>
  <si>
    <t>Dartford Grid B 11kV</t>
  </si>
  <si>
    <t>DARB52</t>
  </si>
  <si>
    <t>DEPD51</t>
  </si>
  <si>
    <t>Deptford Grid 11kV</t>
  </si>
  <si>
    <t>DEPD52</t>
  </si>
  <si>
    <t>DEPD53</t>
  </si>
  <si>
    <t>DERM51</t>
  </si>
  <si>
    <t>Dermody Rd 11kV</t>
  </si>
  <si>
    <t>DEVO51</t>
  </si>
  <si>
    <t>Devonshire Square 11kV</t>
  </si>
  <si>
    <t>DEVO52</t>
  </si>
  <si>
    <t>DEVO53</t>
  </si>
  <si>
    <t>DKAV51</t>
  </si>
  <si>
    <t>Dukes Ave 11kV</t>
  </si>
  <si>
    <t>DURN51</t>
  </si>
  <si>
    <t>Durnsford Rd 11kV</t>
  </si>
  <si>
    <t>DURN52</t>
  </si>
  <si>
    <t>DUST51</t>
  </si>
  <si>
    <t>Duke St B 11kV</t>
  </si>
  <si>
    <t>DUST52</t>
  </si>
  <si>
    <t>DUST53</t>
  </si>
  <si>
    <t>EBBR51</t>
  </si>
  <si>
    <t>Ebury Bridge 11kV</t>
  </si>
  <si>
    <t>EBBR52</t>
  </si>
  <si>
    <t>EBBR53</t>
  </si>
  <si>
    <t>EDLC51</t>
  </si>
  <si>
    <t>Edwards Lane C 11kV</t>
  </si>
  <si>
    <t>EDLC52</t>
  </si>
  <si>
    <t>EDLC53</t>
  </si>
  <si>
    <t>EITH51</t>
  </si>
  <si>
    <t>Erith 11kV</t>
  </si>
  <si>
    <t>EITH52</t>
  </si>
  <si>
    <t>ELHS51</t>
  </si>
  <si>
    <t>Eltham High St 11kV</t>
  </si>
  <si>
    <t>ELTM51</t>
  </si>
  <si>
    <t>Eltham Grid 11kV</t>
  </si>
  <si>
    <t>ELTM52</t>
  </si>
  <si>
    <t>EPPN51</t>
  </si>
  <si>
    <t>Epping New Rd 11kV</t>
  </si>
  <si>
    <t>EPPN52</t>
  </si>
  <si>
    <t>EXET51</t>
  </si>
  <si>
    <t>Exeter Rd 11kV</t>
  </si>
  <si>
    <t>EXET52</t>
  </si>
  <si>
    <t>FAIR51</t>
  </si>
  <si>
    <t>Fairlop Rd 11kV</t>
  </si>
  <si>
    <t>FARJ51</t>
  </si>
  <si>
    <t>Farjeon Rd 11kV</t>
  </si>
  <si>
    <t>FARJ52</t>
  </si>
  <si>
    <t>FENE31</t>
  </si>
  <si>
    <t>LPN 0019</t>
  </si>
  <si>
    <t>FENN31</t>
  </si>
  <si>
    <t>LPN 0064</t>
  </si>
  <si>
    <t>FENS31</t>
  </si>
  <si>
    <t>LPN 0059</t>
  </si>
  <si>
    <t>FENW31</t>
  </si>
  <si>
    <t>LPN 0031</t>
  </si>
  <si>
    <t>FINA51</t>
  </si>
  <si>
    <t>Finsbury Mkt A 11kV</t>
  </si>
  <si>
    <t>FINA52</t>
  </si>
  <si>
    <t>FIND51</t>
  </si>
  <si>
    <t>Finsbury Mkt D 11kV</t>
  </si>
  <si>
    <t>FINE51</t>
  </si>
  <si>
    <t>Finsbury Mkt E 11kV</t>
  </si>
  <si>
    <t>FINE52</t>
  </si>
  <si>
    <t>FINE53</t>
  </si>
  <si>
    <t>FISB51</t>
  </si>
  <si>
    <t>Fisher St B 11kV</t>
  </si>
  <si>
    <t>FISB52</t>
  </si>
  <si>
    <t>FORE51</t>
  </si>
  <si>
    <t>Forest Hill 11kV</t>
  </si>
  <si>
    <t>FULC51</t>
  </si>
  <si>
    <t>Fulham Palace Rd C 11kV</t>
  </si>
  <si>
    <t>FULC52</t>
  </si>
  <si>
    <t>FULC53</t>
  </si>
  <si>
    <t>GEST51</t>
  </si>
  <si>
    <t>Georgiana St 11kV</t>
  </si>
  <si>
    <t>GEST52</t>
  </si>
  <si>
    <t>GEST53</t>
  </si>
  <si>
    <t>GIBR51</t>
  </si>
  <si>
    <t>Gibbons Rd 11kV</t>
  </si>
  <si>
    <t>GIBR52</t>
  </si>
  <si>
    <t>GIBR53</t>
  </si>
  <si>
    <t>GLAU51</t>
  </si>
  <si>
    <t>Glaucus St 11kV</t>
  </si>
  <si>
    <t>GORR51</t>
  </si>
  <si>
    <t>Gorringe Park 11kV</t>
  </si>
  <si>
    <t>GORR52</t>
  </si>
  <si>
    <t>GRFD81</t>
  </si>
  <si>
    <t>LPN 0002</t>
  </si>
  <si>
    <t>GROL51</t>
  </si>
  <si>
    <t>Grove Lodge 11kV</t>
  </si>
  <si>
    <t>GROL52</t>
  </si>
  <si>
    <t>GSST31</t>
  </si>
  <si>
    <t>LPN 0016</t>
  </si>
  <si>
    <t>HACC71</t>
  </si>
  <si>
    <t>Hackney C 6.6kV</t>
  </si>
  <si>
    <t>HACC72</t>
  </si>
  <si>
    <t>HACC73</t>
  </si>
  <si>
    <t>HATR51</t>
  </si>
  <si>
    <t>Hatchard Rd 11kV</t>
  </si>
  <si>
    <t>HATR52</t>
  </si>
  <si>
    <t>HEAR51</t>
  </si>
  <si>
    <t>Hearn St 11kV</t>
  </si>
  <si>
    <t>HEAR52</t>
  </si>
  <si>
    <t>HOLW51</t>
  </si>
  <si>
    <t>Holloway 11kV</t>
  </si>
  <si>
    <t>HOLW52</t>
  </si>
  <si>
    <t>HOXT31</t>
  </si>
  <si>
    <t>LPN 0010</t>
  </si>
  <si>
    <t>HURS11</t>
  </si>
  <si>
    <t>Hurst 132kV</t>
  </si>
  <si>
    <t>HYPA51</t>
  </si>
  <si>
    <t>Hyde Park Estate A 11kV</t>
  </si>
  <si>
    <t>HYPA52</t>
  </si>
  <si>
    <t>HYPB51</t>
  </si>
  <si>
    <t>Hyde Park Estate B 11kV</t>
  </si>
  <si>
    <t>HYPB52</t>
  </si>
  <si>
    <t>IMPC71</t>
  </si>
  <si>
    <t>Imperial College 6.6kV</t>
  </si>
  <si>
    <t>IMPC72</t>
  </si>
  <si>
    <t>KGYA51</t>
  </si>
  <si>
    <t>Kings Yard A 11kV</t>
  </si>
  <si>
    <t>KGYA52</t>
  </si>
  <si>
    <t>KGYB51</t>
  </si>
  <si>
    <t>Kings Yard B 11kV</t>
  </si>
  <si>
    <t>KHWK51</t>
  </si>
  <si>
    <t>King Henry's Walk 11kV</t>
  </si>
  <si>
    <t>KHWK52</t>
  </si>
  <si>
    <t>KIMB51</t>
  </si>
  <si>
    <t>Kimberley Rd B 11kV</t>
  </si>
  <si>
    <t>KIMB52</t>
  </si>
  <si>
    <t>KIRT51</t>
  </si>
  <si>
    <t>LPN 0062</t>
  </si>
  <si>
    <t>KITO11</t>
  </si>
  <si>
    <t>Kingston (SEEB) 132kV</t>
  </si>
  <si>
    <t>KITO12</t>
  </si>
  <si>
    <t>KWAY51</t>
  </si>
  <si>
    <t>Kingsway 11kV</t>
  </si>
  <si>
    <t>KWAY52</t>
  </si>
  <si>
    <t>LANW51</t>
  </si>
  <si>
    <t>LPN 0043</t>
  </si>
  <si>
    <t>LEAD31</t>
  </si>
  <si>
    <t>LPN 0072</t>
  </si>
  <si>
    <t>LEAE31</t>
  </si>
  <si>
    <t>LPN 0018</t>
  </si>
  <si>
    <t>LEAW31</t>
  </si>
  <si>
    <t>LPN 0017</t>
  </si>
  <si>
    <t>LEIR31</t>
  </si>
  <si>
    <t>Leicester Rd 33kV</t>
  </si>
  <si>
    <t>LESQ51</t>
  </si>
  <si>
    <t>Leicester Sq 11kV</t>
  </si>
  <si>
    <t>LESQ52</t>
  </si>
  <si>
    <t>LESQ53</t>
  </si>
  <si>
    <t>LEYB51</t>
  </si>
  <si>
    <t>Ley St B 11kV</t>
  </si>
  <si>
    <t>LEYB52</t>
  </si>
  <si>
    <t>LIMA51</t>
  </si>
  <si>
    <t>Limeburner Ln 11kV</t>
  </si>
  <si>
    <t>LIMA52</t>
  </si>
  <si>
    <t>LIMA53</t>
  </si>
  <si>
    <t>LITA51</t>
  </si>
  <si>
    <t>Lithos Rd A 11kV</t>
  </si>
  <si>
    <t>LITA52</t>
  </si>
  <si>
    <t>LITB11</t>
  </si>
  <si>
    <t>Littlebrook 132kV GIS</t>
  </si>
  <si>
    <t>LLCR81</t>
  </si>
  <si>
    <t>LPN 0067</t>
  </si>
  <si>
    <t>LMSE31</t>
  </si>
  <si>
    <t>LPN 0057</t>
  </si>
  <si>
    <t>LMSN31</t>
  </si>
  <si>
    <t>LPN 0060</t>
  </si>
  <si>
    <t>LOMD51</t>
  </si>
  <si>
    <t>Lombard Rd B 11kV</t>
  </si>
  <si>
    <t>LOMD52</t>
  </si>
  <si>
    <t>LONG51</t>
  </si>
  <si>
    <t>Longford St B 11kV</t>
  </si>
  <si>
    <t>LONG52</t>
  </si>
  <si>
    <t>LONG53</t>
  </si>
  <si>
    <t>LOTS81</t>
  </si>
  <si>
    <t>LPN 0044</t>
  </si>
  <si>
    <t>LWAN31</t>
  </si>
  <si>
    <t>LPN 0052</t>
  </si>
  <si>
    <t>LWAS31</t>
  </si>
  <si>
    <t>LPN 0053</t>
  </si>
  <si>
    <t>LWBN31</t>
  </si>
  <si>
    <t>LPN 0054</t>
  </si>
  <si>
    <t>LWBS31</t>
  </si>
  <si>
    <t>LPN 0055</t>
  </si>
  <si>
    <t>MANS81</t>
  </si>
  <si>
    <t>LPN 0012</t>
  </si>
  <si>
    <t>MARK31</t>
  </si>
  <si>
    <t>LPN 0020</t>
  </si>
  <si>
    <t>MERT51</t>
  </si>
  <si>
    <t>Merton 11kV</t>
  </si>
  <si>
    <t>MERT52</t>
  </si>
  <si>
    <t>MOFE31</t>
  </si>
  <si>
    <t>LPN 0070</t>
  </si>
  <si>
    <t>MOFW31</t>
  </si>
  <si>
    <t>LPN 0071</t>
  </si>
  <si>
    <t>MONB51</t>
  </si>
  <si>
    <t>Montford Place B 11kV</t>
  </si>
  <si>
    <t>MONB52</t>
  </si>
  <si>
    <t>MONB53</t>
  </si>
  <si>
    <t>MONB54</t>
  </si>
  <si>
    <t>MORT51</t>
  </si>
  <si>
    <t>Moreton Street 11kV</t>
  </si>
  <si>
    <t>MORT52</t>
  </si>
  <si>
    <t>MORT53</t>
  </si>
  <si>
    <t>MOSW71</t>
  </si>
  <si>
    <t>Moscow Rd 6.6kV</t>
  </si>
  <si>
    <t>MOSW72</t>
  </si>
  <si>
    <t>NECK51</t>
  </si>
  <si>
    <t>Neckinger 11kV</t>
  </si>
  <si>
    <t>NECK52</t>
  </si>
  <si>
    <t>NELN51</t>
  </si>
  <si>
    <t>Nelson St 11kV</t>
  </si>
  <si>
    <t>NEWB51</t>
  </si>
  <si>
    <t>Newington House B 11kV</t>
  </si>
  <si>
    <t>NEWB52</t>
  </si>
  <si>
    <t>NMRD51</t>
  </si>
  <si>
    <t>LPN 0004</t>
  </si>
  <si>
    <t>NORX51</t>
  </si>
  <si>
    <t>North Cross Rd 11kV</t>
  </si>
  <si>
    <t>NUTM51</t>
  </si>
  <si>
    <t>LPN 0006</t>
  </si>
  <si>
    <t>OBRB51</t>
  </si>
  <si>
    <t>Old Brompton Rd B 11kV</t>
  </si>
  <si>
    <t>OBRB52</t>
  </si>
  <si>
    <t>OBRB53</t>
  </si>
  <si>
    <t>OSBB51</t>
  </si>
  <si>
    <t>Osborn St B 11kV</t>
  </si>
  <si>
    <t>OSBB52</t>
  </si>
  <si>
    <t>OSBB53</t>
  </si>
  <si>
    <t>OSCL51</t>
  </si>
  <si>
    <t>Old School Close 11kV</t>
  </si>
  <si>
    <t>OSCL52</t>
  </si>
  <si>
    <t>PARL81</t>
  </si>
  <si>
    <t>LPN 0003</t>
  </si>
  <si>
    <t>PATE51</t>
  </si>
  <si>
    <t>Paternoster 11kV</t>
  </si>
  <si>
    <t>PATE52</t>
  </si>
  <si>
    <t>PYPT31</t>
  </si>
  <si>
    <t>LPN 0061</t>
  </si>
  <si>
    <t>QSBS31</t>
  </si>
  <si>
    <t>LPN 0049</t>
  </si>
  <si>
    <t>QVSN31</t>
  </si>
  <si>
    <t>LPN 0048</t>
  </si>
  <si>
    <t>SBAN51</t>
  </si>
  <si>
    <t>South Bank 11kV</t>
  </si>
  <si>
    <t>SBAN52</t>
  </si>
  <si>
    <t>SEWL51</t>
  </si>
  <si>
    <t>Sewell Rd B 11kV</t>
  </si>
  <si>
    <t>SEWL52</t>
  </si>
  <si>
    <t>SHOD51</t>
  </si>
  <si>
    <t>Shorts Gdns 11kV</t>
  </si>
  <si>
    <t>SILB51</t>
  </si>
  <si>
    <t>Silvertown B 11kV</t>
  </si>
  <si>
    <t>SILB52</t>
  </si>
  <si>
    <t>SILB53</t>
  </si>
  <si>
    <t>SIMP51</t>
  </si>
  <si>
    <t>Simpsons Road 11kV</t>
  </si>
  <si>
    <t>STEN81</t>
  </si>
  <si>
    <t>LPN 0035</t>
  </si>
  <si>
    <t>STWR51</t>
  </si>
  <si>
    <t>Stewarts Rd 11kV</t>
  </si>
  <si>
    <t>STWR52</t>
  </si>
  <si>
    <t>SYDK51</t>
  </si>
  <si>
    <t>Sydenham Park 11kV</t>
  </si>
  <si>
    <t>SYDK52</t>
  </si>
  <si>
    <t>TAY5G1</t>
  </si>
  <si>
    <t>LPN 0038</t>
  </si>
  <si>
    <t>TAY5G2</t>
  </si>
  <si>
    <t>THAM31</t>
  </si>
  <si>
    <t>LPN 0069</t>
  </si>
  <si>
    <t>THAM32</t>
  </si>
  <si>
    <t>TOOS51</t>
  </si>
  <si>
    <t>Tooley St 11kV</t>
  </si>
  <si>
    <t>TOWB51</t>
  </si>
  <si>
    <t>Townmead B 11kV</t>
  </si>
  <si>
    <t>TOWB52</t>
  </si>
  <si>
    <t>TOWB53</t>
  </si>
  <si>
    <t>TRIN51</t>
  </si>
  <si>
    <t>Trinity Crescent 11kV</t>
  </si>
  <si>
    <t>TRIN52</t>
  </si>
  <si>
    <t>VERR51</t>
  </si>
  <si>
    <t>Verney Rd 11kV</t>
  </si>
  <si>
    <t>VERR52</t>
  </si>
  <si>
    <t>VICT71</t>
  </si>
  <si>
    <t>Victoria Gdns 6.6kV</t>
  </si>
  <si>
    <t>VICT72</t>
  </si>
  <si>
    <t>VISC51</t>
  </si>
  <si>
    <t>Victoria St 11kV</t>
  </si>
  <si>
    <t>VISC52</t>
  </si>
  <si>
    <t>WANC51</t>
  </si>
  <si>
    <t>Wandsworth Central A 11kV</t>
  </si>
  <si>
    <t>WANC52</t>
  </si>
  <si>
    <t>WATR51</t>
  </si>
  <si>
    <t>Waterloo Rd 11kV</t>
  </si>
  <si>
    <t>WATR52</t>
  </si>
  <si>
    <t>WDGR51</t>
  </si>
  <si>
    <t>Woodgrange Park 11kV</t>
  </si>
  <si>
    <t>WDLN51</t>
  </si>
  <si>
    <t>Wood Lane 11kV</t>
  </si>
  <si>
    <t>WFCS51</t>
  </si>
  <si>
    <t>West Ferry Circus 11kV</t>
  </si>
  <si>
    <t>WFCS52</t>
  </si>
  <si>
    <t>WFCS53</t>
  </si>
  <si>
    <t>WFCS54</t>
  </si>
  <si>
    <t>WHAG51</t>
  </si>
  <si>
    <t>West Ham Grid 11kV</t>
  </si>
  <si>
    <t>WHAG52</t>
  </si>
  <si>
    <t>WHAG53</t>
  </si>
  <si>
    <t>WHAG54</t>
  </si>
  <si>
    <t>WHBR81</t>
  </si>
  <si>
    <t>LPN 0036</t>
  </si>
  <si>
    <t>WHBR82</t>
  </si>
  <si>
    <t>WHSR51</t>
  </si>
  <si>
    <t>Whiston Rd 11kV</t>
  </si>
  <si>
    <t>WHSR52</t>
  </si>
  <si>
    <t>WILB51</t>
  </si>
  <si>
    <t>LPN 0041</t>
  </si>
  <si>
    <t>WIMD31</t>
  </si>
  <si>
    <t>LPN 0045</t>
  </si>
  <si>
    <t>WINL51</t>
  </si>
  <si>
    <t>Winlaton Rd 11kV</t>
  </si>
  <si>
    <t>WINL52</t>
  </si>
  <si>
    <t>WISB81</t>
  </si>
  <si>
    <t>LPN 0040</t>
  </si>
  <si>
    <t>WISB82</t>
  </si>
  <si>
    <t>WKST31</t>
  </si>
  <si>
    <t>LPN 0068</t>
  </si>
  <si>
    <t>WKST32</t>
  </si>
  <si>
    <t>WNOR51</t>
  </si>
  <si>
    <t>West Norwood 11kV</t>
  </si>
  <si>
    <t>WNOR52</t>
  </si>
  <si>
    <t>WORE31</t>
  </si>
  <si>
    <t>LPN 0050</t>
  </si>
  <si>
    <t>WORW31</t>
  </si>
  <si>
    <t>LPN 0051</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</si>
  <si>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</si>
  <si>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01/04/2027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</si>
</sst>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0.000;[Red]\-0.000;?"/>
    <numFmt numFmtId="182" formatCode="#,##0;\-#,##0;\-"/>
    <numFmt numFmtId="183" formatCode="#,##0.00_ ;\-#,##0.00\ "/>
    <numFmt numFmtId="184" formatCode="#,##0.000_ ;\-#,##0.000\ "/>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5">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3" xfId="0" applyFont="1" applyBorder="1" applyAlignment="1">
      <alignment horizontal="center" vertical="center" wrapTex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0" fontId="6" fillId="9" borderId="1" xfId="6" applyFill="1" applyBorder="1" applyAlignment="1" applyProtection="1">
      <alignment horizontal="center" vertical="center" wrapText="1"/>
      <protection locked="0"/>
    </xf>
    <xf numFmtId="172" fontId="9" fillId="9" borderId="1" xfId="0" applyNumberFormat="1" applyFont="1" applyFill="1" applyBorder="1" applyAlignment="1" applyProtection="1">
      <alignment horizontal="center" vertical="center" wrapText="1"/>
      <protection locked="0"/>
    </xf>
    <xf numFmtId="181" fontId="3" fillId="30" borderId="1" xfId="9" applyNumberFormat="1" applyFill="1" applyBorder="1" applyAlignment="1" applyProtection="1">
      <alignment vertical="center"/>
    </xf>
    <xf numFmtId="181"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36" fillId="2" borderId="0" xfId="6" applyFont="1" applyFill="1" applyAlignment="1">
      <alignment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165" fontId="0" fillId="0" borderId="2" xfId="0" applyNumberFormat="1" applyBorder="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left" vertical="center" wrapText="1"/>
    </xf>
    <xf numFmtId="182" fontId="21" fillId="9" borderId="1" xfId="0" applyNumberFormat="1" applyFont="1" applyFill="1" applyBorder="1" applyAlignment="1" applyProtection="1">
      <alignment horizontal="center" vertical="center"/>
      <protection locked="0"/>
    </xf>
    <xf numFmtId="43" fontId="7" fillId="7" borderId="1" xfId="7" quotePrefix="1" applyFont="1" applyFill="1" applyBorder="1" applyAlignment="1" applyProtection="1">
      <alignment horizontal="center" vertical="center" wrapText="1"/>
      <protection locked="0"/>
    </xf>
    <xf numFmtId="0" fontId="6" fillId="0" borderId="0" xfId="0" applyFont="1" applyAlignment="1">
      <alignment vertical="center"/>
    </xf>
    <xf numFmtId="2" fontId="4" fillId="12" borderId="1" xfId="7" applyNumberFormat="1" applyFont="1" applyFill="1" applyBorder="1" applyAlignment="1" applyProtection="1">
      <alignment horizontal="center" vertical="center"/>
    </xf>
    <xf numFmtId="2" fontId="6" fillId="2" borderId="0" xfId="6" applyNumberFormat="1" applyFill="1"/>
    <xf numFmtId="2" fontId="4" fillId="23" borderId="1" xfId="7" applyNumberFormat="1" applyFont="1" applyFill="1" applyBorder="1" applyAlignment="1" applyProtection="1">
      <alignment horizontal="center" vertical="center"/>
    </xf>
    <xf numFmtId="183" fontId="15" fillId="8" borderId="1" xfId="7" applyNumberFormat="1" applyFont="1" applyFill="1" applyBorder="1" applyAlignment="1" applyProtection="1">
      <alignment horizontal="center" vertical="center"/>
      <protection locked="0"/>
    </xf>
    <xf numFmtId="184" fontId="15" fillId="8" borderId="1" xfId="7" applyNumberFormat="1" applyFont="1" applyFill="1" applyBorder="1" applyAlignment="1" applyProtection="1">
      <alignment horizontal="center" vertical="center"/>
      <protection locked="0"/>
    </xf>
    <xf numFmtId="49" fontId="0" fillId="9" borderId="1" xfId="0" applyNumberFormat="1" applyFill="1" applyBorder="1" applyAlignment="1" applyProtection="1">
      <alignment horizontal="center" vertical="center" wrapText="1"/>
      <protection locked="0"/>
    </xf>
    <xf numFmtId="165" fontId="4" fillId="9" borderId="1" xfId="0" applyNumberFormat="1" applyFont="1" applyFill="1" applyBorder="1" applyAlignment="1" applyProtection="1">
      <alignment horizontal="center" vertical="center"/>
      <protection locked="0"/>
    </xf>
    <xf numFmtId="2" fontId="4" fillId="9" borderId="1" xfId="0" applyNumberFormat="1" applyFont="1" applyFill="1" applyBorder="1" applyAlignment="1" applyProtection="1">
      <alignment horizontal="center" vertical="center"/>
      <protection locked="0"/>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0" xfId="6" quotePrefix="1" applyFill="1" applyAlignment="1">
      <alignment horizontal="center" vertical="center" wrapText="1"/>
    </xf>
    <xf numFmtId="0" fontId="29" fillId="0" borderId="0" xfId="15" quotePrefix="1" applyFill="1" applyBorder="1" applyAlignment="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9" fillId="17" borderId="0" xfId="15" quotePrefix="1" applyFill="1" applyBorder="1" applyAlignment="1">
      <alignment horizontal="left" vertical="top" wrapText="1"/>
    </xf>
    <xf numFmtId="0" fontId="0" fillId="2" borderId="0" xfId="0" applyFill="1" applyAlignment="1">
      <alignment horizontal="left" vertical="center"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116417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9197976"/>
          <a:ext cx="8268758" cy="1141941"/>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6" t="s">
        <v>114</v>
      </c>
      <c r="B2" s="68"/>
      <c r="C2" s="68"/>
      <c r="D2" s="68"/>
      <c r="E2" s="68"/>
    </row>
    <row r="3" spans="1:8" ht="15" x14ac:dyDescent="0.2">
      <c r="A3" s="68"/>
      <c r="B3" s="133" t="s">
        <v>115</v>
      </c>
      <c r="C3" s="132" t="s">
        <v>116</v>
      </c>
      <c r="D3" s="132" t="s">
        <v>19</v>
      </c>
      <c r="E3" s="132" t="s">
        <v>18</v>
      </c>
    </row>
    <row r="4" spans="1:8" ht="15" x14ac:dyDescent="0.2">
      <c r="A4" s="69" t="s">
        <v>114</v>
      </c>
      <c r="B4" s="28" t="s">
        <v>613</v>
      </c>
      <c r="C4" s="28" t="s">
        <v>671</v>
      </c>
      <c r="D4" s="28" t="s">
        <v>672</v>
      </c>
      <c r="E4" s="28" t="s">
        <v>113</v>
      </c>
    </row>
    <row r="5" spans="1:8" x14ac:dyDescent="0.2">
      <c r="A5" s="68"/>
      <c r="B5" s="68"/>
      <c r="C5" s="68"/>
      <c r="D5" s="68"/>
      <c r="E5" s="68"/>
    </row>
    <row r="6" spans="1:8" ht="16.5" x14ac:dyDescent="0.2">
      <c r="A6" s="71" t="s">
        <v>13</v>
      </c>
      <c r="B6" s="68"/>
      <c r="C6" s="68"/>
      <c r="D6" s="68"/>
      <c r="E6" s="68"/>
    </row>
    <row r="7" spans="1:8" ht="15" x14ac:dyDescent="0.2">
      <c r="A7" s="72" t="s">
        <v>14</v>
      </c>
      <c r="B7" s="230" t="s">
        <v>15</v>
      </c>
      <c r="C7" s="230"/>
      <c r="D7" s="230"/>
      <c r="E7" s="230"/>
    </row>
    <row r="8" spans="1:8" ht="30" customHeight="1" x14ac:dyDescent="0.2">
      <c r="A8" s="76" t="s">
        <v>156</v>
      </c>
      <c r="B8" s="228" t="s">
        <v>145</v>
      </c>
      <c r="C8" s="228"/>
      <c r="D8" s="228"/>
      <c r="E8" s="228"/>
    </row>
    <row r="9" spans="1:8" ht="30" customHeight="1" x14ac:dyDescent="0.2">
      <c r="A9" s="76" t="s">
        <v>606</v>
      </c>
      <c r="B9" s="22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8"/>
      <c r="D9" s="228"/>
      <c r="E9" s="228"/>
    </row>
    <row r="10" spans="1:8" ht="30" customHeight="1" x14ac:dyDescent="0.2">
      <c r="A10" s="76" t="s">
        <v>33</v>
      </c>
      <c r="B10" s="228" t="s">
        <v>17</v>
      </c>
      <c r="C10" s="228"/>
      <c r="D10" s="228"/>
      <c r="E10" s="228"/>
    </row>
    <row r="11" spans="1:8" ht="61.5" customHeight="1" x14ac:dyDescent="0.2">
      <c r="A11" s="76" t="s">
        <v>34</v>
      </c>
      <c r="B11" s="22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8"/>
      <c r="D11" s="228"/>
      <c r="E11" s="228"/>
      <c r="F11" s="225"/>
      <c r="G11" s="225"/>
      <c r="H11" s="225"/>
    </row>
    <row r="12" spans="1:8" ht="86.25" customHeight="1" x14ac:dyDescent="0.2">
      <c r="A12" s="76" t="s">
        <v>25</v>
      </c>
      <c r="B12" s="228" t="s">
        <v>126</v>
      </c>
      <c r="C12" s="228"/>
      <c r="D12" s="228"/>
      <c r="E12" s="228"/>
    </row>
    <row r="13" spans="1:8" ht="45" customHeight="1" x14ac:dyDescent="0.2">
      <c r="A13" s="76" t="s">
        <v>127</v>
      </c>
      <c r="B13" s="22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28"/>
      <c r="D13" s="228"/>
      <c r="E13" s="228"/>
    </row>
    <row r="14" spans="1:8" ht="33.75" customHeight="1" x14ac:dyDescent="0.2">
      <c r="A14" s="174" t="s">
        <v>401</v>
      </c>
      <c r="B14" s="228" t="s">
        <v>402</v>
      </c>
      <c r="C14" s="228"/>
      <c r="D14" s="228"/>
      <c r="E14" s="228"/>
    </row>
    <row r="15" spans="1:8" ht="29.25" customHeight="1" x14ac:dyDescent="0.2">
      <c r="A15" s="76" t="s">
        <v>27</v>
      </c>
      <c r="B15" s="228" t="s">
        <v>646</v>
      </c>
      <c r="C15" s="228"/>
      <c r="D15" s="228"/>
      <c r="E15" s="228"/>
    </row>
    <row r="16" spans="1:8" ht="29.25" customHeight="1" x14ac:dyDescent="0.2">
      <c r="A16" s="174" t="s">
        <v>607</v>
      </c>
      <c r="B16" s="228" t="s">
        <v>608</v>
      </c>
      <c r="C16" s="228"/>
      <c r="D16" s="228"/>
      <c r="E16" s="228"/>
    </row>
    <row r="17" spans="1:5" ht="29.25" customHeight="1" x14ac:dyDescent="0.2">
      <c r="A17" s="76" t="s">
        <v>514</v>
      </c>
      <c r="B17" s="228" t="s">
        <v>516</v>
      </c>
      <c r="C17" s="228"/>
      <c r="D17" s="228"/>
      <c r="E17" s="228"/>
    </row>
    <row r="18" spans="1:5" ht="29.25" customHeight="1" x14ac:dyDescent="0.2">
      <c r="A18" s="76" t="s">
        <v>609</v>
      </c>
      <c r="B18" s="228" t="s">
        <v>610</v>
      </c>
      <c r="C18" s="228"/>
      <c r="D18" s="228"/>
      <c r="E18" s="228"/>
    </row>
    <row r="19" spans="1:5" ht="30" customHeight="1" x14ac:dyDescent="0.2">
      <c r="A19" s="76" t="s">
        <v>77</v>
      </c>
      <c r="B19" s="228" t="s">
        <v>76</v>
      </c>
      <c r="C19" s="228"/>
      <c r="D19" s="228"/>
      <c r="E19" s="228"/>
    </row>
    <row r="20" spans="1:5" x14ac:dyDescent="0.2">
      <c r="A20" s="68"/>
      <c r="B20" s="68"/>
      <c r="C20" s="68"/>
      <c r="D20" s="68"/>
      <c r="E20" s="68"/>
    </row>
    <row r="21" spans="1:5" ht="15" x14ac:dyDescent="0.2">
      <c r="A21" s="73" t="s">
        <v>23</v>
      </c>
      <c r="B21" s="68"/>
      <c r="C21" s="68"/>
      <c r="D21" s="68"/>
      <c r="E21" s="68"/>
    </row>
    <row r="22" spans="1:5" ht="15" x14ac:dyDescent="0.2">
      <c r="A22" s="72"/>
      <c r="B22" s="229"/>
      <c r="C22" s="229"/>
      <c r="D22" s="229"/>
      <c r="E22" s="229"/>
    </row>
    <row r="23" spans="1:5" ht="32.25" customHeight="1" x14ac:dyDescent="0.2">
      <c r="A23" s="226" t="s">
        <v>61</v>
      </c>
      <c r="B23" s="227"/>
      <c r="C23" s="227"/>
      <c r="D23" s="227"/>
      <c r="E23" s="227"/>
    </row>
    <row r="24" spans="1:5" x14ac:dyDescent="0.2">
      <c r="A24" s="68"/>
      <c r="B24" s="68"/>
      <c r="C24" s="68"/>
      <c r="D24" s="68"/>
      <c r="E24" s="68"/>
    </row>
    <row r="25" spans="1:5" ht="15" x14ac:dyDescent="0.2">
      <c r="A25" s="74" t="s">
        <v>24</v>
      </c>
      <c r="B25" s="68"/>
      <c r="C25" s="68"/>
      <c r="D25" s="68"/>
      <c r="E25" s="68"/>
    </row>
    <row r="26" spans="1:5" ht="15" x14ac:dyDescent="0.2">
      <c r="A26" s="70"/>
      <c r="B26" s="229"/>
      <c r="C26" s="229"/>
      <c r="D26" s="229"/>
      <c r="E26" s="229"/>
    </row>
    <row r="27" spans="1:5" ht="28.5" customHeight="1" x14ac:dyDescent="0.2">
      <c r="A27" s="226" t="s">
        <v>35</v>
      </c>
      <c r="B27" s="227"/>
      <c r="C27" s="227"/>
      <c r="D27" s="227"/>
      <c r="E27" s="227"/>
    </row>
    <row r="28" spans="1:5" ht="28.5" customHeight="1" x14ac:dyDescent="0.2">
      <c r="A28" s="224" t="s">
        <v>112</v>
      </c>
      <c r="B28" s="224"/>
      <c r="C28" s="224"/>
      <c r="D28" s="224"/>
      <c r="E28" s="224"/>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5" t="s">
        <v>16</v>
      </c>
      <c r="B1" s="232"/>
      <c r="C1" s="232"/>
      <c r="D1" s="232"/>
      <c r="E1" s="231"/>
      <c r="F1" s="231"/>
      <c r="G1" s="231"/>
      <c r="H1" s="231"/>
      <c r="I1" s="231"/>
      <c r="J1" s="231"/>
      <c r="K1" s="231"/>
      <c r="L1" s="51"/>
      <c r="M1" s="78"/>
    </row>
    <row r="2" spans="1:13" ht="27" customHeight="1" x14ac:dyDescent="0.2">
      <c r="A2" s="240" t="str">
        <f>Overview!B4&amp; " - Effective from "&amp;Overview!D4&amp;" - "&amp;Overview!E4&amp;" LV and HV charges"</f>
        <v>London Power Networks - Effective from 1 April 2027 - Final LV and HV charges</v>
      </c>
      <c r="B2" s="240"/>
      <c r="C2" s="240"/>
      <c r="D2" s="240"/>
      <c r="E2" s="240"/>
      <c r="F2" s="240"/>
      <c r="G2" s="240"/>
      <c r="H2" s="240"/>
      <c r="I2" s="240"/>
      <c r="J2" s="240"/>
      <c r="K2" s="240"/>
      <c r="L2" s="51"/>
      <c r="M2" s="78"/>
    </row>
    <row r="3" spans="1:13" s="78" customFormat="1" ht="15" customHeight="1" x14ac:dyDescent="0.2">
      <c r="A3" s="84"/>
      <c r="B3" s="84"/>
      <c r="C3" s="84"/>
      <c r="D3" s="84"/>
      <c r="E3" s="84"/>
      <c r="F3" s="84"/>
      <c r="G3" s="84"/>
      <c r="H3" s="84"/>
      <c r="I3" s="84"/>
      <c r="J3" s="84"/>
      <c r="K3" s="84"/>
      <c r="L3" s="51"/>
    </row>
    <row r="4" spans="1:13" ht="27" customHeight="1" x14ac:dyDescent="0.2">
      <c r="A4" s="240" t="s">
        <v>140</v>
      </c>
      <c r="B4" s="240"/>
      <c r="C4" s="240"/>
      <c r="D4" s="240"/>
      <c r="E4" s="240"/>
      <c r="F4" s="84"/>
      <c r="G4" s="240" t="s">
        <v>141</v>
      </c>
      <c r="H4" s="240"/>
      <c r="I4" s="240"/>
      <c r="J4" s="240"/>
      <c r="K4" s="240"/>
    </row>
    <row r="5" spans="1:13" ht="28.5" customHeight="1" x14ac:dyDescent="0.2">
      <c r="A5" s="77" t="s">
        <v>9</v>
      </c>
      <c r="B5" s="80" t="s">
        <v>51</v>
      </c>
      <c r="C5" s="241" t="s">
        <v>52</v>
      </c>
      <c r="D5" s="242"/>
      <c r="E5" s="79" t="s">
        <v>53</v>
      </c>
      <c r="F5" s="84"/>
      <c r="G5" s="244"/>
      <c r="H5" s="245"/>
      <c r="I5" s="81" t="s">
        <v>58</v>
      </c>
      <c r="J5" s="82" t="s">
        <v>59</v>
      </c>
      <c r="K5" s="79" t="s">
        <v>53</v>
      </c>
    </row>
    <row r="6" spans="1:13" ht="65.25" customHeight="1" x14ac:dyDescent="0.2">
      <c r="A6" s="186" t="s">
        <v>54</v>
      </c>
      <c r="B6" s="22" t="s">
        <v>614</v>
      </c>
      <c r="C6" s="243" t="s">
        <v>615</v>
      </c>
      <c r="D6" s="243"/>
      <c r="E6" s="187" t="s">
        <v>616</v>
      </c>
      <c r="F6" s="84"/>
      <c r="G6" s="238" t="s">
        <v>55</v>
      </c>
      <c r="H6" s="239"/>
      <c r="I6" s="22" t="s">
        <v>618</v>
      </c>
      <c r="J6" s="83" t="s">
        <v>619</v>
      </c>
      <c r="K6" s="187" t="s">
        <v>616</v>
      </c>
    </row>
    <row r="7" spans="1:13" ht="65.25" customHeight="1" x14ac:dyDescent="0.2">
      <c r="A7" s="186" t="s">
        <v>12</v>
      </c>
      <c r="B7" s="21"/>
      <c r="C7" s="234"/>
      <c r="D7" s="234"/>
      <c r="E7" s="83" t="s">
        <v>617</v>
      </c>
      <c r="F7" s="84"/>
      <c r="G7" s="238" t="s">
        <v>56</v>
      </c>
      <c r="H7" s="239"/>
      <c r="I7" s="22" t="s">
        <v>620</v>
      </c>
      <c r="J7" s="83" t="s">
        <v>621</v>
      </c>
      <c r="K7" s="187" t="s">
        <v>616</v>
      </c>
    </row>
    <row r="8" spans="1:13" ht="65.25" customHeight="1" x14ac:dyDescent="0.2">
      <c r="A8" s="184" t="s">
        <v>10</v>
      </c>
      <c r="B8" s="235" t="s">
        <v>11</v>
      </c>
      <c r="C8" s="236"/>
      <c r="D8" s="236"/>
      <c r="E8" s="237"/>
      <c r="F8" s="84"/>
      <c r="G8" s="238" t="s">
        <v>622</v>
      </c>
      <c r="H8" s="239"/>
      <c r="I8" s="21"/>
      <c r="J8" s="83" t="s">
        <v>623</v>
      </c>
      <c r="K8" s="187" t="s">
        <v>616</v>
      </c>
    </row>
    <row r="9" spans="1:13" s="78" customFormat="1" ht="65.25" customHeight="1" x14ac:dyDescent="0.2">
      <c r="F9" s="84"/>
      <c r="G9" s="238" t="s">
        <v>62</v>
      </c>
      <c r="H9" s="239"/>
      <c r="I9" s="21"/>
      <c r="J9" s="21"/>
      <c r="K9" s="83" t="s">
        <v>617</v>
      </c>
      <c r="L9" s="51"/>
    </row>
    <row r="10" spans="1:13" s="78" customFormat="1" ht="36" customHeight="1" x14ac:dyDescent="0.2">
      <c r="F10" s="84"/>
      <c r="G10" s="233" t="s">
        <v>10</v>
      </c>
      <c r="H10" s="233"/>
      <c r="I10" s="235" t="s">
        <v>11</v>
      </c>
      <c r="J10" s="236"/>
      <c r="K10" s="237"/>
      <c r="L10" s="51"/>
    </row>
    <row r="11" spans="1:13" s="78" customFormat="1" ht="12.75" customHeight="1" x14ac:dyDescent="0.2">
      <c r="A11" s="84"/>
      <c r="B11" s="84"/>
      <c r="C11" s="84"/>
      <c r="D11" s="84"/>
      <c r="E11" s="84"/>
      <c r="F11" s="84"/>
      <c r="G11" s="84"/>
      <c r="H11" s="84"/>
      <c r="I11" s="84"/>
      <c r="J11" s="84"/>
      <c r="K11" s="84"/>
      <c r="L11" s="51"/>
    </row>
    <row r="12" spans="1:13" ht="78.75" customHeight="1" x14ac:dyDescent="0.2">
      <c r="A12" s="27" t="s">
        <v>117</v>
      </c>
      <c r="B12" s="14" t="s">
        <v>650</v>
      </c>
      <c r="C12" s="14" t="s">
        <v>20</v>
      </c>
      <c r="D12" s="14" t="s">
        <v>142</v>
      </c>
      <c r="E12" s="14" t="s">
        <v>144</v>
      </c>
      <c r="F12" s="14" t="s">
        <v>143</v>
      </c>
      <c r="G12" s="14" t="s">
        <v>21</v>
      </c>
      <c r="H12" s="14" t="s">
        <v>22</v>
      </c>
      <c r="I12" s="14" t="s">
        <v>118</v>
      </c>
      <c r="J12" s="14" t="s">
        <v>28</v>
      </c>
      <c r="K12" s="14" t="s">
        <v>651</v>
      </c>
    </row>
    <row r="13" spans="1:13" ht="32.25" customHeight="1" x14ac:dyDescent="0.2">
      <c r="A13" s="16" t="s">
        <v>579</v>
      </c>
      <c r="B13" s="41">
        <v>1</v>
      </c>
      <c r="C13" s="180" t="s">
        <v>673</v>
      </c>
      <c r="D13" s="138">
        <v>12.196999999999999</v>
      </c>
      <c r="E13" s="139">
        <v>1.2430000000000001</v>
      </c>
      <c r="F13" s="140">
        <v>0</v>
      </c>
      <c r="G13" s="46">
        <v>0</v>
      </c>
      <c r="H13" s="47"/>
      <c r="I13" s="47"/>
      <c r="J13" s="43"/>
      <c r="K13" s="44">
        <v>902</v>
      </c>
    </row>
    <row r="14" spans="1:13" ht="32.25" customHeight="1" x14ac:dyDescent="0.2">
      <c r="A14" s="16" t="s">
        <v>403</v>
      </c>
      <c r="B14" s="41">
        <v>2</v>
      </c>
      <c r="C14" s="176">
        <v>2</v>
      </c>
      <c r="D14" s="138">
        <v>12.414</v>
      </c>
      <c r="E14" s="139">
        <v>1.46</v>
      </c>
      <c r="F14" s="140">
        <v>0.108</v>
      </c>
      <c r="G14" s="47"/>
      <c r="H14" s="47"/>
      <c r="I14" s="47"/>
      <c r="J14" s="43"/>
      <c r="K14" s="44"/>
    </row>
    <row r="15" spans="1:13" ht="32.25" customHeight="1" x14ac:dyDescent="0.2">
      <c r="A15" s="16" t="s">
        <v>532</v>
      </c>
      <c r="B15" s="45">
        <v>199</v>
      </c>
      <c r="C15" s="164" t="s">
        <v>674</v>
      </c>
      <c r="D15" s="138">
        <v>9.6110000000000007</v>
      </c>
      <c r="E15" s="139">
        <v>1.1299999999999999</v>
      </c>
      <c r="F15" s="140">
        <v>8.3000000000000004E-2</v>
      </c>
      <c r="G15" s="46">
        <v>5.91</v>
      </c>
      <c r="H15" s="47"/>
      <c r="I15" s="47"/>
      <c r="J15" s="43"/>
      <c r="K15" s="44"/>
    </row>
    <row r="16" spans="1:13" ht="32.25" customHeight="1" x14ac:dyDescent="0.2">
      <c r="A16" s="16" t="s">
        <v>533</v>
      </c>
      <c r="B16" s="45" t="s">
        <v>675</v>
      </c>
      <c r="C16" s="164" t="s">
        <v>674</v>
      </c>
      <c r="D16" s="138">
        <v>9.4909999999999997</v>
      </c>
      <c r="E16" s="139">
        <v>1.01</v>
      </c>
      <c r="F16" s="140">
        <v>0</v>
      </c>
      <c r="G16" s="46">
        <v>0</v>
      </c>
      <c r="H16" s="47"/>
      <c r="I16" s="47"/>
      <c r="J16" s="43"/>
      <c r="K16" s="44"/>
    </row>
    <row r="17" spans="1:11" ht="32.25" customHeight="1" x14ac:dyDescent="0.2">
      <c r="A17" s="16" t="s">
        <v>534</v>
      </c>
      <c r="B17" s="45" t="s">
        <v>676</v>
      </c>
      <c r="C17" s="164" t="s">
        <v>674</v>
      </c>
      <c r="D17" s="138">
        <v>8.6440000000000001</v>
      </c>
      <c r="E17" s="139">
        <v>0.16400000000000001</v>
      </c>
      <c r="F17" s="140">
        <v>0</v>
      </c>
      <c r="G17" s="46">
        <v>0</v>
      </c>
      <c r="H17" s="47"/>
      <c r="I17" s="47"/>
      <c r="J17" s="43"/>
      <c r="K17" s="44"/>
    </row>
    <row r="18" spans="1:11" ht="32.25" customHeight="1" x14ac:dyDescent="0.2">
      <c r="A18" s="16" t="s">
        <v>535</v>
      </c>
      <c r="B18" s="45" t="s">
        <v>677</v>
      </c>
      <c r="C18" s="164" t="s">
        <v>674</v>
      </c>
      <c r="D18" s="138">
        <v>8.3339999999999996</v>
      </c>
      <c r="E18" s="139">
        <v>0</v>
      </c>
      <c r="F18" s="140">
        <v>0</v>
      </c>
      <c r="G18" s="46">
        <v>0</v>
      </c>
      <c r="H18" s="47"/>
      <c r="I18" s="47"/>
      <c r="J18" s="43"/>
      <c r="K18" s="44"/>
    </row>
    <row r="19" spans="1:11" ht="32.25" customHeight="1" x14ac:dyDescent="0.2">
      <c r="A19" s="16" t="s">
        <v>536</v>
      </c>
      <c r="B19" s="45" t="s">
        <v>678</v>
      </c>
      <c r="C19" s="164" t="s">
        <v>674</v>
      </c>
      <c r="D19" s="138">
        <v>7.9320000000000004</v>
      </c>
      <c r="E19" s="139">
        <v>0</v>
      </c>
      <c r="F19" s="140">
        <v>0</v>
      </c>
      <c r="G19" s="46">
        <v>0</v>
      </c>
      <c r="H19" s="47"/>
      <c r="I19" s="47"/>
      <c r="J19" s="43"/>
      <c r="K19" s="44"/>
    </row>
    <row r="20" spans="1:11" ht="32.25" customHeight="1" x14ac:dyDescent="0.2">
      <c r="A20" s="16" t="s">
        <v>683</v>
      </c>
      <c r="B20" s="41">
        <v>200</v>
      </c>
      <c r="C20" s="176">
        <v>4</v>
      </c>
      <c r="D20" s="138">
        <v>9.6110000000000007</v>
      </c>
      <c r="E20" s="139">
        <v>1.1299999999999999</v>
      </c>
      <c r="F20" s="140">
        <v>8.3000000000000004E-2</v>
      </c>
      <c r="G20" s="47"/>
      <c r="H20" s="47"/>
      <c r="I20" s="47"/>
      <c r="J20" s="43"/>
      <c r="K20" s="44"/>
    </row>
    <row r="21" spans="1:11" ht="32.25" customHeight="1" x14ac:dyDescent="0.2">
      <c r="A21" s="16" t="s">
        <v>404</v>
      </c>
      <c r="B21" s="44">
        <v>70</v>
      </c>
      <c r="C21" s="176">
        <v>0</v>
      </c>
      <c r="D21" s="138">
        <v>7.6390000000000002</v>
      </c>
      <c r="E21" s="139">
        <v>0.92200000000000004</v>
      </c>
      <c r="F21" s="140">
        <v>6.2E-2</v>
      </c>
      <c r="G21" s="46">
        <v>14.51</v>
      </c>
      <c r="H21" s="46">
        <v>8.26</v>
      </c>
      <c r="I21" s="137">
        <v>8.26</v>
      </c>
      <c r="J21" s="42">
        <v>0.58799999999999997</v>
      </c>
      <c r="K21" s="44"/>
    </row>
    <row r="22" spans="1:11" ht="32.25" customHeight="1" x14ac:dyDescent="0.2">
      <c r="A22" s="16" t="s">
        <v>405</v>
      </c>
      <c r="B22" s="44">
        <v>71</v>
      </c>
      <c r="C22" s="176">
        <v>0</v>
      </c>
      <c r="D22" s="138">
        <v>4.8860000000000001</v>
      </c>
      <c r="E22" s="139">
        <v>0.32200000000000001</v>
      </c>
      <c r="F22" s="140">
        <v>0.03</v>
      </c>
      <c r="G22" s="46">
        <v>2.2999999999999998</v>
      </c>
      <c r="H22" s="46">
        <v>8.26</v>
      </c>
      <c r="I22" s="137">
        <v>8.26</v>
      </c>
      <c r="J22" s="42">
        <v>0.58799999999999997</v>
      </c>
      <c r="K22" s="44"/>
    </row>
    <row r="23" spans="1:11" ht="32.25" customHeight="1" x14ac:dyDescent="0.2">
      <c r="A23" s="16" t="s">
        <v>406</v>
      </c>
      <c r="B23" s="44">
        <v>72</v>
      </c>
      <c r="C23" s="176">
        <v>0</v>
      </c>
      <c r="D23" s="138">
        <v>4.8209999999999997</v>
      </c>
      <c r="E23" s="139">
        <v>0.32200000000000001</v>
      </c>
      <c r="F23" s="140">
        <v>0.03</v>
      </c>
      <c r="G23" s="46">
        <v>2.2999999999999998</v>
      </c>
      <c r="H23" s="46">
        <v>8.26</v>
      </c>
      <c r="I23" s="137">
        <v>8.26</v>
      </c>
      <c r="J23" s="42">
        <v>0.58799999999999997</v>
      </c>
      <c r="K23" s="44"/>
    </row>
    <row r="24" spans="1:11" ht="32.25" customHeight="1" x14ac:dyDescent="0.2">
      <c r="A24" s="16" t="s">
        <v>407</v>
      </c>
      <c r="B24" s="44">
        <v>73</v>
      </c>
      <c r="C24" s="176">
        <v>0</v>
      </c>
      <c r="D24" s="138">
        <v>4.7629999999999999</v>
      </c>
      <c r="E24" s="139">
        <v>0.32200000000000001</v>
      </c>
      <c r="F24" s="140">
        <v>0.03</v>
      </c>
      <c r="G24" s="46">
        <v>2.2999999999999998</v>
      </c>
      <c r="H24" s="46">
        <v>8.26</v>
      </c>
      <c r="I24" s="137">
        <v>8.26</v>
      </c>
      <c r="J24" s="42">
        <v>0.58799999999999997</v>
      </c>
      <c r="K24" s="44"/>
    </row>
    <row r="25" spans="1:11" ht="32.25" customHeight="1" x14ac:dyDescent="0.2">
      <c r="A25" s="16" t="s">
        <v>408</v>
      </c>
      <c r="B25" s="44">
        <v>74</v>
      </c>
      <c r="C25" s="176">
        <v>0</v>
      </c>
      <c r="D25" s="138">
        <v>4.6920000000000002</v>
      </c>
      <c r="E25" s="139">
        <v>0.32200000000000001</v>
      </c>
      <c r="F25" s="140">
        <v>0.03</v>
      </c>
      <c r="G25" s="46">
        <v>2.2999999999999998</v>
      </c>
      <c r="H25" s="46">
        <v>8.26</v>
      </c>
      <c r="I25" s="137">
        <v>8.26</v>
      </c>
      <c r="J25" s="42">
        <v>0.58799999999999997</v>
      </c>
      <c r="K25" s="44"/>
    </row>
    <row r="26" spans="1:11" ht="32.25" customHeight="1" x14ac:dyDescent="0.2">
      <c r="A26" s="16" t="s">
        <v>409</v>
      </c>
      <c r="B26" s="44">
        <v>80</v>
      </c>
      <c r="C26" s="176">
        <v>0</v>
      </c>
      <c r="D26" s="138">
        <v>4.6909999999999998</v>
      </c>
      <c r="E26" s="139">
        <v>0.59899999999999998</v>
      </c>
      <c r="F26" s="140">
        <v>3.3000000000000002E-2</v>
      </c>
      <c r="G26" s="46">
        <v>12.21</v>
      </c>
      <c r="H26" s="46">
        <v>10.38</v>
      </c>
      <c r="I26" s="137">
        <v>10.38</v>
      </c>
      <c r="J26" s="42">
        <v>0.34799999999999998</v>
      </c>
      <c r="K26" s="44"/>
    </row>
    <row r="27" spans="1:11" ht="32.25" customHeight="1" x14ac:dyDescent="0.2">
      <c r="A27" s="16" t="s">
        <v>410</v>
      </c>
      <c r="B27" s="44">
        <v>81</v>
      </c>
      <c r="C27" s="176">
        <v>0</v>
      </c>
      <c r="D27" s="138">
        <v>1.9379999999999999</v>
      </c>
      <c r="E27" s="139">
        <v>0</v>
      </c>
      <c r="F27" s="140">
        <v>0</v>
      </c>
      <c r="G27" s="46">
        <v>0</v>
      </c>
      <c r="H27" s="46">
        <v>10.38</v>
      </c>
      <c r="I27" s="137">
        <v>10.38</v>
      </c>
      <c r="J27" s="42">
        <v>0.34799999999999998</v>
      </c>
      <c r="K27" s="44"/>
    </row>
    <row r="28" spans="1:11" ht="32.25" customHeight="1" x14ac:dyDescent="0.2">
      <c r="A28" s="16" t="s">
        <v>411</v>
      </c>
      <c r="B28" s="44">
        <v>82</v>
      </c>
      <c r="C28" s="176">
        <v>0</v>
      </c>
      <c r="D28" s="138">
        <v>1.873</v>
      </c>
      <c r="E28" s="139">
        <v>0</v>
      </c>
      <c r="F28" s="140">
        <v>0</v>
      </c>
      <c r="G28" s="46">
        <v>0</v>
      </c>
      <c r="H28" s="46">
        <v>10.38</v>
      </c>
      <c r="I28" s="137">
        <v>10.38</v>
      </c>
      <c r="J28" s="42">
        <v>0.34799999999999998</v>
      </c>
      <c r="K28" s="44"/>
    </row>
    <row r="29" spans="1:11" ht="32.25" customHeight="1" x14ac:dyDescent="0.2">
      <c r="A29" s="16" t="s">
        <v>412</v>
      </c>
      <c r="B29" s="44">
        <v>83</v>
      </c>
      <c r="C29" s="176">
        <v>0</v>
      </c>
      <c r="D29" s="138">
        <v>1.8149999999999999</v>
      </c>
      <c r="E29" s="139">
        <v>0</v>
      </c>
      <c r="F29" s="140">
        <v>0</v>
      </c>
      <c r="G29" s="46">
        <v>0</v>
      </c>
      <c r="H29" s="46">
        <v>10.38</v>
      </c>
      <c r="I29" s="137">
        <v>10.38</v>
      </c>
      <c r="J29" s="42">
        <v>0.34799999999999998</v>
      </c>
      <c r="K29" s="44"/>
    </row>
    <row r="30" spans="1:11" ht="32.25" customHeight="1" x14ac:dyDescent="0.2">
      <c r="A30" s="16" t="s">
        <v>413</v>
      </c>
      <c r="B30" s="44">
        <v>84</v>
      </c>
      <c r="C30" s="176">
        <v>0</v>
      </c>
      <c r="D30" s="138">
        <v>1.7430000000000001</v>
      </c>
      <c r="E30" s="139">
        <v>0</v>
      </c>
      <c r="F30" s="140">
        <v>0</v>
      </c>
      <c r="G30" s="46">
        <v>0</v>
      </c>
      <c r="H30" s="46">
        <v>10.38</v>
      </c>
      <c r="I30" s="137">
        <v>10.38</v>
      </c>
      <c r="J30" s="42">
        <v>0.34799999999999998</v>
      </c>
      <c r="K30" s="44"/>
    </row>
    <row r="31" spans="1:11" ht="32.25" customHeight="1" x14ac:dyDescent="0.2">
      <c r="A31" s="16" t="s">
        <v>414</v>
      </c>
      <c r="B31" s="44">
        <v>90</v>
      </c>
      <c r="C31" s="176">
        <v>0</v>
      </c>
      <c r="D31" s="138">
        <v>3.488</v>
      </c>
      <c r="E31" s="139">
        <v>0.44600000000000001</v>
      </c>
      <c r="F31" s="140">
        <v>2.5999999999999999E-2</v>
      </c>
      <c r="G31" s="46">
        <v>129.41999999999999</v>
      </c>
      <c r="H31" s="46">
        <v>10.65</v>
      </c>
      <c r="I31" s="137">
        <v>10.65</v>
      </c>
      <c r="J31" s="42">
        <v>0.27100000000000002</v>
      </c>
      <c r="K31" s="44"/>
    </row>
    <row r="32" spans="1:11" ht="32.25" customHeight="1" x14ac:dyDescent="0.2">
      <c r="A32" s="16" t="s">
        <v>415</v>
      </c>
      <c r="B32" s="44">
        <v>91</v>
      </c>
      <c r="C32" s="176">
        <v>0</v>
      </c>
      <c r="D32" s="138">
        <v>0.42</v>
      </c>
      <c r="E32" s="139">
        <v>0</v>
      </c>
      <c r="F32" s="140">
        <v>0</v>
      </c>
      <c r="G32" s="46">
        <v>0</v>
      </c>
      <c r="H32" s="46">
        <v>10.65</v>
      </c>
      <c r="I32" s="137">
        <v>10.65</v>
      </c>
      <c r="J32" s="42">
        <v>0.27100000000000002</v>
      </c>
      <c r="K32" s="44"/>
    </row>
    <row r="33" spans="1:11" ht="32.25" customHeight="1" x14ac:dyDescent="0.2">
      <c r="A33" s="16" t="s">
        <v>416</v>
      </c>
      <c r="B33" s="44">
        <v>92</v>
      </c>
      <c r="C33" s="176">
        <v>0</v>
      </c>
      <c r="D33" s="138">
        <v>0.223</v>
      </c>
      <c r="E33" s="139">
        <v>0</v>
      </c>
      <c r="F33" s="140">
        <v>0</v>
      </c>
      <c r="G33" s="46">
        <v>0</v>
      </c>
      <c r="H33" s="46">
        <v>10.65</v>
      </c>
      <c r="I33" s="137">
        <v>10.65</v>
      </c>
      <c r="J33" s="42">
        <v>0.27100000000000002</v>
      </c>
      <c r="K33" s="44"/>
    </row>
    <row r="34" spans="1:11" ht="32.25" customHeight="1" x14ac:dyDescent="0.2">
      <c r="A34" s="16" t="s">
        <v>417</v>
      </c>
      <c r="B34" s="44">
        <v>93</v>
      </c>
      <c r="C34" s="176">
        <v>0</v>
      </c>
      <c r="D34" s="138">
        <v>0.30499999999999999</v>
      </c>
      <c r="E34" s="139">
        <v>0</v>
      </c>
      <c r="F34" s="140">
        <v>0</v>
      </c>
      <c r="G34" s="46">
        <v>0</v>
      </c>
      <c r="H34" s="46">
        <v>10.65</v>
      </c>
      <c r="I34" s="137">
        <v>10.65</v>
      </c>
      <c r="J34" s="42">
        <v>0.27100000000000002</v>
      </c>
      <c r="K34" s="44"/>
    </row>
    <row r="35" spans="1:11" ht="32.25" customHeight="1" x14ac:dyDescent="0.2">
      <c r="A35" s="16" t="s">
        <v>418</v>
      </c>
      <c r="B35" s="44">
        <v>94</v>
      </c>
      <c r="C35" s="176">
        <v>0</v>
      </c>
      <c r="D35" s="138">
        <v>0.24</v>
      </c>
      <c r="E35" s="139">
        <v>0</v>
      </c>
      <c r="F35" s="140">
        <v>0</v>
      </c>
      <c r="G35" s="46">
        <v>0</v>
      </c>
      <c r="H35" s="46">
        <v>10.65</v>
      </c>
      <c r="I35" s="137">
        <v>10.65</v>
      </c>
      <c r="J35" s="42">
        <v>0.27100000000000002</v>
      </c>
      <c r="K35" s="44"/>
    </row>
    <row r="36" spans="1:11" ht="83.25" customHeight="1" x14ac:dyDescent="0.2">
      <c r="A36" s="16" t="s">
        <v>131</v>
      </c>
      <c r="B36" s="44" t="s">
        <v>679</v>
      </c>
      <c r="C36" s="176" t="s">
        <v>680</v>
      </c>
      <c r="D36" s="141">
        <v>40.972000000000001</v>
      </c>
      <c r="E36" s="142">
        <v>3.3460000000000001</v>
      </c>
      <c r="F36" s="140">
        <v>0.47099999999999997</v>
      </c>
      <c r="G36" s="47"/>
      <c r="H36" s="47"/>
      <c r="I36" s="47"/>
      <c r="J36" s="43"/>
      <c r="K36" s="44" t="s">
        <v>681</v>
      </c>
    </row>
    <row r="37" spans="1:11" ht="32.25" customHeight="1" x14ac:dyDescent="0.2">
      <c r="A37" s="16" t="s">
        <v>132</v>
      </c>
      <c r="B37" s="45">
        <v>932</v>
      </c>
      <c r="C37" s="175" t="s">
        <v>682</v>
      </c>
      <c r="D37" s="138">
        <v>-7.8280000000000003</v>
      </c>
      <c r="E37" s="139">
        <v>-0.92100000000000004</v>
      </c>
      <c r="F37" s="140">
        <v>-6.8000000000000005E-2</v>
      </c>
      <c r="G37" s="46">
        <v>0</v>
      </c>
      <c r="H37" s="47"/>
      <c r="I37" s="47"/>
      <c r="J37" s="43"/>
      <c r="K37" s="44"/>
    </row>
    <row r="38" spans="1:11" ht="32.25" customHeight="1" x14ac:dyDescent="0.2">
      <c r="A38" s="16" t="s">
        <v>133</v>
      </c>
      <c r="B38" s="44"/>
      <c r="C38" s="176">
        <v>0</v>
      </c>
      <c r="D38" s="138">
        <v>-6.4329999999999998</v>
      </c>
      <c r="E38" s="139">
        <v>-0.76900000000000002</v>
      </c>
      <c r="F38" s="140">
        <v>-5.3999999999999999E-2</v>
      </c>
      <c r="G38" s="46">
        <v>0</v>
      </c>
      <c r="H38" s="47"/>
      <c r="I38" s="47"/>
      <c r="J38" s="43"/>
      <c r="K38" s="44"/>
    </row>
    <row r="39" spans="1:11" ht="32.25" customHeight="1" x14ac:dyDescent="0.2">
      <c r="A39" s="16" t="s">
        <v>134</v>
      </c>
      <c r="B39" s="44">
        <v>980</v>
      </c>
      <c r="C39" s="176">
        <v>0</v>
      </c>
      <c r="D39" s="138">
        <v>-7.8280000000000003</v>
      </c>
      <c r="E39" s="139">
        <v>-0.92100000000000004</v>
      </c>
      <c r="F39" s="140">
        <v>-6.8000000000000005E-2</v>
      </c>
      <c r="G39" s="46">
        <v>0</v>
      </c>
      <c r="H39" s="47"/>
      <c r="I39" s="47"/>
      <c r="J39" s="42">
        <v>0.55000000000000004</v>
      </c>
      <c r="K39" s="44"/>
    </row>
    <row r="40" spans="1:11" ht="32.25" customHeight="1" x14ac:dyDescent="0.2">
      <c r="A40" s="16" t="s">
        <v>684</v>
      </c>
      <c r="B40" s="44">
        <v>981</v>
      </c>
      <c r="C40" s="176">
        <v>0</v>
      </c>
      <c r="D40" s="138">
        <v>-7.8280000000000003</v>
      </c>
      <c r="E40" s="139">
        <v>-0.92100000000000004</v>
      </c>
      <c r="F40" s="140">
        <v>-6.8000000000000005E-2</v>
      </c>
      <c r="G40" s="46">
        <v>0</v>
      </c>
      <c r="H40" s="47"/>
      <c r="I40" s="47"/>
      <c r="J40" s="43"/>
      <c r="K40" s="44"/>
    </row>
    <row r="41" spans="1:11" ht="32.25" customHeight="1" x14ac:dyDescent="0.2">
      <c r="A41" s="16" t="s">
        <v>136</v>
      </c>
      <c r="B41" s="44">
        <v>984</v>
      </c>
      <c r="C41" s="176">
        <v>0</v>
      </c>
      <c r="D41" s="138">
        <v>-6.4329999999999998</v>
      </c>
      <c r="E41" s="139">
        <v>-0.76900000000000002</v>
      </c>
      <c r="F41" s="140">
        <v>-5.3999999999999999E-2</v>
      </c>
      <c r="G41" s="46">
        <v>0</v>
      </c>
      <c r="H41" s="47"/>
      <c r="I41" s="47"/>
      <c r="J41" s="42">
        <v>0.433</v>
      </c>
      <c r="K41" s="44"/>
    </row>
    <row r="42" spans="1:11" ht="32.25" customHeight="1" x14ac:dyDescent="0.2">
      <c r="A42" s="16" t="s">
        <v>685</v>
      </c>
      <c r="B42" s="44">
        <v>985</v>
      </c>
      <c r="C42" s="176">
        <v>0</v>
      </c>
      <c r="D42" s="138">
        <v>-6.4329999999999998</v>
      </c>
      <c r="E42" s="139">
        <v>-0.76900000000000002</v>
      </c>
      <c r="F42" s="140">
        <v>-5.3999999999999999E-2</v>
      </c>
      <c r="G42" s="46">
        <v>0</v>
      </c>
      <c r="H42" s="47"/>
      <c r="I42" s="47"/>
      <c r="J42" s="43"/>
      <c r="K42" s="44"/>
    </row>
    <row r="43" spans="1:11" ht="32.25" customHeight="1" x14ac:dyDescent="0.2">
      <c r="A43" s="16" t="s">
        <v>138</v>
      </c>
      <c r="B43" s="44">
        <v>988</v>
      </c>
      <c r="C43" s="176">
        <v>0</v>
      </c>
      <c r="D43" s="138">
        <v>-4.1790000000000003</v>
      </c>
      <c r="E43" s="139">
        <v>-0.53400000000000003</v>
      </c>
      <c r="F43" s="140">
        <v>-2.9000000000000001E-2</v>
      </c>
      <c r="G43" s="46">
        <v>9.08</v>
      </c>
      <c r="H43" s="47"/>
      <c r="I43" s="47"/>
      <c r="J43" s="42">
        <v>0.38200000000000001</v>
      </c>
      <c r="K43" s="44"/>
    </row>
    <row r="44" spans="1:11" ht="32.25" customHeight="1" x14ac:dyDescent="0.2">
      <c r="A44" s="16" t="s">
        <v>686</v>
      </c>
      <c r="B44" s="44">
        <v>989</v>
      </c>
      <c r="C44" s="176">
        <v>0</v>
      </c>
      <c r="D44" s="138">
        <v>-4.1790000000000003</v>
      </c>
      <c r="E44" s="139">
        <v>-0.53400000000000003</v>
      </c>
      <c r="F44" s="140">
        <v>-2.9000000000000001E-2</v>
      </c>
      <c r="G44" s="46">
        <v>9.08</v>
      </c>
      <c r="H44" s="47"/>
      <c r="I44" s="47"/>
      <c r="J44" s="43"/>
      <c r="K44" s="44"/>
    </row>
    <row r="45" spans="1:11" ht="27.75" customHeight="1" x14ac:dyDescent="0.2">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G10:H10"/>
    <mergeCell ref="C7:D7"/>
    <mergeCell ref="B8:E8"/>
    <mergeCell ref="G9:H9"/>
    <mergeCell ref="I10:K10"/>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58"/>
  <sheetViews>
    <sheetView zoomScale="85" zoomScaleNormal="85" zoomScaleSheetLayoutView="100" workbookViewId="0"/>
  </sheetViews>
  <sheetFormatPr defaultRowHeight="27.75" customHeight="1" x14ac:dyDescent="0.2"/>
  <cols>
    <col min="1" max="1" width="14.7109375" style="53" customWidth="1"/>
    <col min="2" max="2" width="7.85546875" style="53" customWidth="1"/>
    <col min="3" max="3" width="14.7109375" style="53" customWidth="1"/>
    <col min="4" max="4" width="14.7109375" style="61" customWidth="1"/>
    <col min="5" max="5" width="7.85546875" style="61" customWidth="1"/>
    <col min="6" max="6" width="14.7109375" style="61" customWidth="1"/>
    <col min="7" max="7" width="30.7109375" style="61" customWidth="1"/>
    <col min="8" max="8" width="14.7109375" style="61" customWidth="1"/>
    <col min="9" max="9" width="14.7109375" style="62" customWidth="1"/>
    <col min="10" max="11" width="14.7109375" style="63" customWidth="1"/>
    <col min="12" max="16" width="14.7109375" style="53" customWidth="1"/>
    <col min="17" max="16384" width="9.140625" style="53"/>
  </cols>
  <sheetData>
    <row r="1" spans="1:16" ht="32.25" customHeight="1" x14ac:dyDescent="0.2">
      <c r="A1" s="52" t="s">
        <v>16</v>
      </c>
      <c r="B1" s="52"/>
      <c r="C1" s="231" t="s">
        <v>642</v>
      </c>
      <c r="D1" s="231"/>
      <c r="E1" s="231"/>
      <c r="F1" s="231"/>
      <c r="G1" s="231"/>
      <c r="H1" s="231"/>
      <c r="I1" s="231"/>
      <c r="J1" s="231"/>
      <c r="K1" s="231"/>
      <c r="L1" s="231"/>
      <c r="M1" s="231"/>
      <c r="N1" s="231"/>
      <c r="O1" s="231"/>
      <c r="P1" s="231"/>
    </row>
    <row r="2" spans="1:16" s="54" customFormat="1" ht="27.75" customHeight="1" x14ac:dyDescent="0.2">
      <c r="A2" s="250" t="str">
        <f>Overview!B4&amp; " - Effective from "&amp;Overview!D4&amp;" - "&amp;Overview!E4&amp;" Designated EHV charges"</f>
        <v>London Power Networks - Effective from 1 April 2027 - Final Designated EHV charges</v>
      </c>
      <c r="B2" s="251"/>
      <c r="C2" s="251"/>
      <c r="D2" s="251"/>
      <c r="E2" s="251"/>
      <c r="F2" s="251"/>
      <c r="G2" s="251"/>
      <c r="H2" s="251"/>
      <c r="I2" s="251"/>
      <c r="J2" s="251"/>
      <c r="K2" s="251"/>
      <c r="L2" s="251"/>
      <c r="M2" s="251"/>
      <c r="N2" s="251"/>
      <c r="O2" s="251"/>
      <c r="P2" s="252"/>
    </row>
    <row r="3" spans="1:16" s="85" customFormat="1" ht="12.75" customHeight="1" x14ac:dyDescent="0.2">
      <c r="A3" s="84"/>
      <c r="B3" s="84"/>
      <c r="C3" s="84"/>
      <c r="D3" s="84"/>
      <c r="E3" s="84"/>
      <c r="F3" s="84"/>
      <c r="G3" s="84"/>
      <c r="H3" s="84"/>
      <c r="I3" s="84"/>
      <c r="J3" s="84"/>
      <c r="K3" s="84"/>
      <c r="L3" s="84"/>
      <c r="M3" s="84"/>
      <c r="N3" s="84"/>
      <c r="O3" s="84"/>
    </row>
    <row r="4" spans="1:16" s="85" customFormat="1" ht="25.5" customHeight="1" x14ac:dyDescent="0.2">
      <c r="A4" s="240" t="s">
        <v>60</v>
      </c>
      <c r="B4" s="240"/>
      <c r="C4" s="240"/>
      <c r="D4" s="240"/>
      <c r="E4" s="240"/>
      <c r="F4" s="240"/>
      <c r="G4" s="84"/>
      <c r="H4" s="84"/>
      <c r="I4" s="84"/>
      <c r="J4" s="84"/>
      <c r="K4" s="84"/>
      <c r="L4" s="84"/>
      <c r="M4" s="84"/>
      <c r="N4" s="84"/>
      <c r="O4" s="84"/>
    </row>
    <row r="5" spans="1:16" s="85" customFormat="1" ht="25.5" customHeight="1" x14ac:dyDescent="0.2">
      <c r="A5" s="246" t="s">
        <v>9</v>
      </c>
      <c r="B5" s="247"/>
      <c r="C5" s="247"/>
      <c r="D5" s="249" t="s">
        <v>57</v>
      </c>
      <c r="E5" s="249"/>
      <c r="F5" s="249"/>
      <c r="G5" s="84"/>
      <c r="H5" s="84"/>
      <c r="I5" s="84"/>
      <c r="J5" s="84"/>
      <c r="K5" s="84"/>
      <c r="L5" s="84"/>
      <c r="M5" s="84"/>
      <c r="N5" s="84"/>
      <c r="O5" s="84"/>
    </row>
    <row r="6" spans="1:16" s="85" customFormat="1" ht="48" customHeight="1" x14ac:dyDescent="0.2">
      <c r="A6" s="248" t="s">
        <v>55</v>
      </c>
      <c r="B6" s="248"/>
      <c r="C6" s="248"/>
      <c r="D6" s="243" t="s">
        <v>618</v>
      </c>
      <c r="E6" s="243"/>
      <c r="F6" s="243"/>
      <c r="G6" s="84"/>
      <c r="H6" s="84"/>
      <c r="I6" s="84"/>
      <c r="J6" s="84"/>
      <c r="K6" s="84"/>
      <c r="L6" s="84"/>
      <c r="M6" s="84"/>
      <c r="N6" s="84"/>
      <c r="O6" s="84"/>
    </row>
    <row r="7" spans="1:16" s="85" customFormat="1" ht="48" customHeight="1" x14ac:dyDescent="0.2">
      <c r="A7" s="248" t="s">
        <v>56</v>
      </c>
      <c r="B7" s="248"/>
      <c r="C7" s="248"/>
      <c r="D7" s="243" t="s">
        <v>620</v>
      </c>
      <c r="E7" s="243"/>
      <c r="F7" s="243"/>
      <c r="G7" s="84"/>
      <c r="H7" s="84"/>
      <c r="I7" s="84"/>
      <c r="J7" s="84"/>
      <c r="K7" s="84"/>
      <c r="L7" s="84"/>
      <c r="M7" s="84"/>
      <c r="N7" s="84"/>
      <c r="O7" s="84"/>
    </row>
    <row r="8" spans="1:16" s="85" customFormat="1" ht="25.5" customHeight="1" x14ac:dyDescent="0.2">
      <c r="A8" s="248" t="s">
        <v>10</v>
      </c>
      <c r="B8" s="248"/>
      <c r="C8" s="248"/>
      <c r="D8" s="243" t="s">
        <v>11</v>
      </c>
      <c r="E8" s="243"/>
      <c r="F8" s="243"/>
      <c r="G8" s="84"/>
      <c r="H8" s="84"/>
      <c r="I8" s="84"/>
      <c r="J8" s="84"/>
      <c r="K8" s="84"/>
      <c r="L8" s="84"/>
      <c r="M8" s="84"/>
      <c r="N8" s="84"/>
      <c r="O8" s="84"/>
    </row>
    <row r="9" spans="1:16" s="85" customFormat="1" ht="18" customHeight="1" x14ac:dyDescent="0.2">
      <c r="A9" s="84"/>
      <c r="B9" s="84"/>
      <c r="C9" s="84"/>
      <c r="D9" s="84"/>
      <c r="E9" s="84"/>
      <c r="F9" s="84"/>
      <c r="G9" s="84"/>
      <c r="H9" s="84"/>
      <c r="I9" s="84"/>
      <c r="J9" s="84"/>
      <c r="K9" s="84"/>
      <c r="L9" s="84"/>
      <c r="M9" s="84"/>
      <c r="N9" s="84"/>
      <c r="O9" s="84"/>
    </row>
    <row r="10" spans="1:16" ht="66.95" customHeight="1" x14ac:dyDescent="0.2">
      <c r="A10" s="55" t="s">
        <v>46</v>
      </c>
      <c r="B10" s="56" t="s">
        <v>652</v>
      </c>
      <c r="C10" s="55" t="s">
        <v>31</v>
      </c>
      <c r="D10" s="55" t="s">
        <v>48</v>
      </c>
      <c r="E10" s="56" t="s">
        <v>652</v>
      </c>
      <c r="F10" s="55" t="s">
        <v>32</v>
      </c>
      <c r="G10" s="57" t="s">
        <v>26</v>
      </c>
      <c r="H10" s="57" t="s">
        <v>531</v>
      </c>
      <c r="I10" s="58" t="s">
        <v>110</v>
      </c>
      <c r="J10" s="57" t="s">
        <v>49</v>
      </c>
      <c r="K10" s="57" t="s">
        <v>108</v>
      </c>
      <c r="L10" s="134" t="s">
        <v>119</v>
      </c>
      <c r="M10" s="58" t="s">
        <v>111</v>
      </c>
      <c r="N10" s="57" t="s">
        <v>50</v>
      </c>
      <c r="O10" s="57" t="s">
        <v>109</v>
      </c>
      <c r="P10" s="134" t="s">
        <v>120</v>
      </c>
    </row>
    <row r="11" spans="1:16" ht="30" customHeight="1" x14ac:dyDescent="0.2">
      <c r="A11" s="48" t="s">
        <v>930</v>
      </c>
      <c r="B11" s="96">
        <v>854</v>
      </c>
      <c r="C11" s="59" t="s">
        <v>977</v>
      </c>
      <c r="D11" s="49"/>
      <c r="E11" s="96"/>
      <c r="F11" s="59"/>
      <c r="G11" s="60" t="s">
        <v>930</v>
      </c>
      <c r="H11" s="192">
        <v>2</v>
      </c>
      <c r="I11" s="64">
        <v>0.219</v>
      </c>
      <c r="J11" s="65">
        <v>11254.69</v>
      </c>
      <c r="K11" s="65">
        <v>2.68</v>
      </c>
      <c r="L11" s="65">
        <v>2.68</v>
      </c>
      <c r="M11" s="66"/>
      <c r="N11" s="67"/>
      <c r="O11" s="67"/>
      <c r="P11" s="67"/>
    </row>
    <row r="12" spans="1:16" ht="30" customHeight="1" x14ac:dyDescent="0.2">
      <c r="A12" s="48" t="s">
        <v>931</v>
      </c>
      <c r="B12" s="96">
        <v>810</v>
      </c>
      <c r="C12" s="59" t="s">
        <v>978</v>
      </c>
      <c r="D12" s="49"/>
      <c r="E12" s="96"/>
      <c r="F12" s="59" t="s">
        <v>979</v>
      </c>
      <c r="G12" s="60" t="s">
        <v>931</v>
      </c>
      <c r="H12" s="192">
        <v>3</v>
      </c>
      <c r="I12" s="64">
        <v>0.20799999999999999</v>
      </c>
      <c r="J12" s="65">
        <v>28784.81</v>
      </c>
      <c r="K12" s="65">
        <v>2.74</v>
      </c>
      <c r="L12" s="65">
        <v>2.74</v>
      </c>
      <c r="M12" s="66"/>
      <c r="N12" s="67"/>
      <c r="O12" s="67"/>
      <c r="P12" s="67"/>
    </row>
    <row r="13" spans="1:16" ht="30" customHeight="1" x14ac:dyDescent="0.2">
      <c r="A13" s="48" t="s">
        <v>932</v>
      </c>
      <c r="B13" s="96">
        <v>811</v>
      </c>
      <c r="C13" s="59" t="s">
        <v>980</v>
      </c>
      <c r="D13" s="49"/>
      <c r="E13" s="96"/>
      <c r="F13" s="59" t="s">
        <v>979</v>
      </c>
      <c r="G13" s="60" t="s">
        <v>932</v>
      </c>
      <c r="H13" s="192">
        <v>3</v>
      </c>
      <c r="I13" s="64">
        <v>0.19700000000000001</v>
      </c>
      <c r="J13" s="65">
        <v>28784.81</v>
      </c>
      <c r="K13" s="65">
        <v>2.74</v>
      </c>
      <c r="L13" s="65">
        <v>2.74</v>
      </c>
      <c r="M13" s="66"/>
      <c r="N13" s="67"/>
      <c r="O13" s="67"/>
      <c r="P13" s="67"/>
    </row>
    <row r="14" spans="1:16" ht="30" customHeight="1" x14ac:dyDescent="0.2">
      <c r="A14" s="48" t="s">
        <v>933</v>
      </c>
      <c r="B14" s="96">
        <v>820</v>
      </c>
      <c r="C14" s="59" t="s">
        <v>981</v>
      </c>
      <c r="D14" s="49"/>
      <c r="E14" s="96"/>
      <c r="F14" s="59" t="s">
        <v>979</v>
      </c>
      <c r="G14" s="60" t="s">
        <v>933</v>
      </c>
      <c r="H14" s="192">
        <v>2</v>
      </c>
      <c r="I14" s="64">
        <v>0.216</v>
      </c>
      <c r="J14" s="65">
        <v>11254.69</v>
      </c>
      <c r="K14" s="65">
        <v>2.59</v>
      </c>
      <c r="L14" s="65">
        <v>2.59</v>
      </c>
      <c r="M14" s="66"/>
      <c r="N14" s="67"/>
      <c r="O14" s="67"/>
      <c r="P14" s="67"/>
    </row>
    <row r="15" spans="1:16" ht="30" customHeight="1" x14ac:dyDescent="0.2">
      <c r="A15" s="48" t="s">
        <v>934</v>
      </c>
      <c r="B15" s="96">
        <v>821</v>
      </c>
      <c r="C15" s="59" t="s">
        <v>982</v>
      </c>
      <c r="D15" s="49"/>
      <c r="E15" s="96"/>
      <c r="F15" s="59" t="s">
        <v>979</v>
      </c>
      <c r="G15" s="60" t="s">
        <v>934</v>
      </c>
      <c r="H15" s="192">
        <v>2</v>
      </c>
      <c r="I15" s="64">
        <v>0.215</v>
      </c>
      <c r="J15" s="65">
        <v>11254.69</v>
      </c>
      <c r="K15" s="65">
        <v>1.96</v>
      </c>
      <c r="L15" s="65">
        <v>1.96</v>
      </c>
      <c r="M15" s="66"/>
      <c r="N15" s="67"/>
      <c r="O15" s="67"/>
      <c r="P15" s="67"/>
    </row>
    <row r="16" spans="1:16" ht="30" customHeight="1" x14ac:dyDescent="0.2">
      <c r="A16" s="48" t="s">
        <v>935</v>
      </c>
      <c r="B16" s="96">
        <v>805</v>
      </c>
      <c r="C16" s="59" t="s">
        <v>983</v>
      </c>
      <c r="D16" s="49"/>
      <c r="E16" s="96"/>
      <c r="F16" s="59" t="s">
        <v>979</v>
      </c>
      <c r="G16" s="60" t="s">
        <v>935</v>
      </c>
      <c r="H16" s="192">
        <v>2</v>
      </c>
      <c r="I16" s="64">
        <v>0.20699999999999999</v>
      </c>
      <c r="J16" s="65">
        <v>11254.69</v>
      </c>
      <c r="K16" s="65">
        <v>3.34</v>
      </c>
      <c r="L16" s="65">
        <v>3.34</v>
      </c>
      <c r="M16" s="66"/>
      <c r="N16" s="67"/>
      <c r="O16" s="67"/>
      <c r="P16" s="67"/>
    </row>
    <row r="17" spans="1:16" ht="30" customHeight="1" x14ac:dyDescent="0.2">
      <c r="A17" s="48" t="s">
        <v>936</v>
      </c>
      <c r="B17" s="96">
        <v>829</v>
      </c>
      <c r="C17" s="59" t="s">
        <v>984</v>
      </c>
      <c r="D17" s="49"/>
      <c r="E17" s="96"/>
      <c r="F17" s="59" t="s">
        <v>979</v>
      </c>
      <c r="G17" s="60" t="s">
        <v>936</v>
      </c>
      <c r="H17" s="192">
        <v>2</v>
      </c>
      <c r="I17" s="64">
        <v>0.22</v>
      </c>
      <c r="J17" s="65">
        <v>11254.69</v>
      </c>
      <c r="K17" s="65">
        <v>2.62</v>
      </c>
      <c r="L17" s="65">
        <v>2.62</v>
      </c>
      <c r="M17" s="66"/>
      <c r="N17" s="67"/>
      <c r="O17" s="67"/>
      <c r="P17" s="67"/>
    </row>
    <row r="18" spans="1:16" ht="15" customHeight="1" x14ac:dyDescent="0.2">
      <c r="A18" s="48" t="s">
        <v>937</v>
      </c>
      <c r="B18" s="96"/>
      <c r="C18" s="59" t="s">
        <v>1008</v>
      </c>
      <c r="D18" s="49"/>
      <c r="E18" s="96"/>
      <c r="F18" s="59" t="s">
        <v>979</v>
      </c>
      <c r="G18" s="60" t="s">
        <v>937</v>
      </c>
      <c r="H18" s="192">
        <v>4</v>
      </c>
      <c r="I18" s="64">
        <v>0.21199999999999999</v>
      </c>
      <c r="J18" s="65">
        <v>68626.320000000007</v>
      </c>
      <c r="K18" s="65">
        <v>5.0999999999999996</v>
      </c>
      <c r="L18" s="65">
        <v>5.0999999999999996</v>
      </c>
      <c r="M18" s="66"/>
      <c r="N18" s="67"/>
      <c r="O18" s="67"/>
      <c r="P18" s="67"/>
    </row>
    <row r="19" spans="1:16" ht="30" customHeight="1" x14ac:dyDescent="0.2">
      <c r="A19" s="48" t="s">
        <v>938</v>
      </c>
      <c r="B19" s="96">
        <v>812</v>
      </c>
      <c r="C19" s="59" t="s">
        <v>985</v>
      </c>
      <c r="D19" s="49"/>
      <c r="E19" s="96"/>
      <c r="F19" s="59" t="s">
        <v>979</v>
      </c>
      <c r="G19" s="60" t="s">
        <v>938</v>
      </c>
      <c r="H19" s="192">
        <v>4</v>
      </c>
      <c r="I19" s="64">
        <v>3.0000000000000001E-3</v>
      </c>
      <c r="J19" s="65">
        <v>82036.160000000003</v>
      </c>
      <c r="K19" s="65">
        <v>1.5</v>
      </c>
      <c r="L19" s="65">
        <v>1.5</v>
      </c>
      <c r="M19" s="66"/>
      <c r="N19" s="67"/>
      <c r="O19" s="67"/>
      <c r="P19" s="67"/>
    </row>
    <row r="20" spans="1:16" ht="15" customHeight="1" x14ac:dyDescent="0.2">
      <c r="A20" s="48" t="s">
        <v>939</v>
      </c>
      <c r="B20" s="96"/>
      <c r="C20" s="59" t="s">
        <v>1009</v>
      </c>
      <c r="D20" s="49"/>
      <c r="E20" s="96"/>
      <c r="F20" s="59" t="s">
        <v>979</v>
      </c>
      <c r="G20" s="60" t="s">
        <v>939</v>
      </c>
      <c r="H20" s="192">
        <v>2</v>
      </c>
      <c r="I20" s="64">
        <v>0.28499999999999998</v>
      </c>
      <c r="J20" s="65">
        <v>10677.01</v>
      </c>
      <c r="K20" s="65">
        <v>6.51</v>
      </c>
      <c r="L20" s="65">
        <v>6.51</v>
      </c>
      <c r="M20" s="66"/>
      <c r="N20" s="67"/>
      <c r="O20" s="67"/>
      <c r="P20" s="67"/>
    </row>
    <row r="21" spans="1:16" ht="15" customHeight="1" x14ac:dyDescent="0.2">
      <c r="A21" s="48" t="s">
        <v>940</v>
      </c>
      <c r="B21" s="96"/>
      <c r="C21" s="59" t="s">
        <v>1009</v>
      </c>
      <c r="D21" s="49"/>
      <c r="E21" s="96"/>
      <c r="F21" s="59" t="s">
        <v>979</v>
      </c>
      <c r="G21" s="60" t="s">
        <v>940</v>
      </c>
      <c r="H21" s="192">
        <v>3</v>
      </c>
      <c r="I21" s="64">
        <v>0.60299999999999998</v>
      </c>
      <c r="J21" s="65">
        <v>28207.13</v>
      </c>
      <c r="K21" s="65">
        <v>7.02</v>
      </c>
      <c r="L21" s="65">
        <v>7.02</v>
      </c>
      <c r="M21" s="66"/>
      <c r="N21" s="67"/>
      <c r="O21" s="67"/>
      <c r="P21" s="67"/>
    </row>
    <row r="22" spans="1:16" ht="15" customHeight="1" x14ac:dyDescent="0.2">
      <c r="A22" s="48" t="s">
        <v>941</v>
      </c>
      <c r="B22" s="96"/>
      <c r="C22" s="59" t="s">
        <v>1010</v>
      </c>
      <c r="D22" s="49"/>
      <c r="E22" s="96"/>
      <c r="F22" s="59" t="s">
        <v>979</v>
      </c>
      <c r="G22" s="60" t="s">
        <v>941</v>
      </c>
      <c r="H22" s="192">
        <v>4</v>
      </c>
      <c r="I22" s="64">
        <v>2.4E-2</v>
      </c>
      <c r="J22" s="65">
        <v>68626.320000000007</v>
      </c>
      <c r="K22" s="65">
        <v>5.2</v>
      </c>
      <c r="L22" s="65">
        <v>5.2</v>
      </c>
      <c r="M22" s="66"/>
      <c r="N22" s="67"/>
      <c r="O22" s="67"/>
      <c r="P22" s="67"/>
    </row>
    <row r="23" spans="1:16" ht="30" customHeight="1" x14ac:dyDescent="0.2">
      <c r="A23" s="48" t="s">
        <v>942</v>
      </c>
      <c r="B23" s="96">
        <v>813</v>
      </c>
      <c r="C23" s="59" t="s">
        <v>986</v>
      </c>
      <c r="D23" s="49"/>
      <c r="E23" s="96"/>
      <c r="F23" s="59" t="s">
        <v>979</v>
      </c>
      <c r="G23" s="60" t="s">
        <v>942</v>
      </c>
      <c r="H23" s="192">
        <v>2</v>
      </c>
      <c r="I23" s="64">
        <v>0.20499999999999999</v>
      </c>
      <c r="J23" s="65">
        <v>11254.69</v>
      </c>
      <c r="K23" s="65">
        <v>2.13</v>
      </c>
      <c r="L23" s="65">
        <v>2.13</v>
      </c>
      <c r="M23" s="66"/>
      <c r="N23" s="67"/>
      <c r="O23" s="67"/>
      <c r="P23" s="67"/>
    </row>
    <row r="24" spans="1:16" ht="30" customHeight="1" x14ac:dyDescent="0.2">
      <c r="A24" s="48" t="s">
        <v>943</v>
      </c>
      <c r="B24" s="96">
        <v>800</v>
      </c>
      <c r="C24" s="59" t="s">
        <v>987</v>
      </c>
      <c r="D24" s="49"/>
      <c r="E24" s="96"/>
      <c r="F24" s="59" t="s">
        <v>979</v>
      </c>
      <c r="G24" s="60" t="s">
        <v>943</v>
      </c>
      <c r="H24" s="192">
        <v>2</v>
      </c>
      <c r="I24" s="64">
        <v>0.26</v>
      </c>
      <c r="J24" s="65">
        <v>11254.69</v>
      </c>
      <c r="K24" s="65">
        <v>2.81</v>
      </c>
      <c r="L24" s="65">
        <v>2.81</v>
      </c>
      <c r="M24" s="66"/>
      <c r="N24" s="67"/>
      <c r="O24" s="67"/>
      <c r="P24" s="67"/>
    </row>
    <row r="25" spans="1:16" ht="54.95" customHeight="1" x14ac:dyDescent="0.2">
      <c r="A25" s="48" t="s">
        <v>944</v>
      </c>
      <c r="B25" s="96">
        <v>843</v>
      </c>
      <c r="C25" s="59" t="s">
        <v>988</v>
      </c>
      <c r="D25" s="49"/>
      <c r="E25" s="96"/>
      <c r="F25" s="59" t="s">
        <v>979</v>
      </c>
      <c r="G25" s="60" t="s">
        <v>944</v>
      </c>
      <c r="H25" s="192">
        <v>4</v>
      </c>
      <c r="I25" s="64">
        <v>3.0000000000000001E-3</v>
      </c>
      <c r="J25" s="65">
        <v>80311.31</v>
      </c>
      <c r="K25" s="65">
        <v>2.44</v>
      </c>
      <c r="L25" s="65">
        <v>2.44</v>
      </c>
      <c r="M25" s="66"/>
      <c r="N25" s="67"/>
      <c r="O25" s="67"/>
      <c r="P25" s="67"/>
    </row>
    <row r="26" spans="1:16" ht="15" customHeight="1" x14ac:dyDescent="0.2">
      <c r="A26" s="48" t="s">
        <v>945</v>
      </c>
      <c r="B26" s="96"/>
      <c r="C26" s="59" t="s">
        <v>1011</v>
      </c>
      <c r="D26" s="49"/>
      <c r="E26" s="96"/>
      <c r="F26" s="59" t="s">
        <v>979</v>
      </c>
      <c r="G26" s="60" t="s">
        <v>945</v>
      </c>
      <c r="H26" s="192">
        <v>2</v>
      </c>
      <c r="I26" s="64">
        <v>0</v>
      </c>
      <c r="J26" s="65">
        <v>10677.01</v>
      </c>
      <c r="K26" s="65">
        <v>4.92</v>
      </c>
      <c r="L26" s="65">
        <v>4.92</v>
      </c>
      <c r="M26" s="66"/>
      <c r="N26" s="67"/>
      <c r="O26" s="67"/>
      <c r="P26" s="67"/>
    </row>
    <row r="27" spans="1:16" ht="30" customHeight="1" x14ac:dyDescent="0.2">
      <c r="A27" s="48" t="s">
        <v>946</v>
      </c>
      <c r="B27" s="96">
        <v>808</v>
      </c>
      <c r="C27" s="59" t="s">
        <v>989</v>
      </c>
      <c r="D27" s="49"/>
      <c r="E27" s="96"/>
      <c r="F27" s="59" t="s">
        <v>979</v>
      </c>
      <c r="G27" s="60" t="s">
        <v>946</v>
      </c>
      <c r="H27" s="192">
        <v>2</v>
      </c>
      <c r="I27" s="64">
        <v>0.2</v>
      </c>
      <c r="J27" s="65">
        <v>11254.69</v>
      </c>
      <c r="K27" s="65">
        <v>2.65</v>
      </c>
      <c r="L27" s="65">
        <v>2.65</v>
      </c>
      <c r="M27" s="66"/>
      <c r="N27" s="67"/>
      <c r="O27" s="67"/>
      <c r="P27" s="67"/>
    </row>
    <row r="28" spans="1:16" ht="30" customHeight="1" x14ac:dyDescent="0.2">
      <c r="A28" s="48" t="s">
        <v>947</v>
      </c>
      <c r="B28" s="96">
        <v>814</v>
      </c>
      <c r="C28" s="59" t="s">
        <v>990</v>
      </c>
      <c r="D28" s="49"/>
      <c r="E28" s="96"/>
      <c r="F28" s="59" t="s">
        <v>979</v>
      </c>
      <c r="G28" s="60" t="s">
        <v>947</v>
      </c>
      <c r="H28" s="192">
        <v>2</v>
      </c>
      <c r="I28" s="64">
        <v>0.20899999999999999</v>
      </c>
      <c r="J28" s="65">
        <v>11254.69</v>
      </c>
      <c r="K28" s="65">
        <v>2.44</v>
      </c>
      <c r="L28" s="65">
        <v>2.44</v>
      </c>
      <c r="M28" s="66"/>
      <c r="N28" s="67"/>
      <c r="O28" s="67"/>
      <c r="P28" s="67"/>
    </row>
    <row r="29" spans="1:16" ht="30" customHeight="1" x14ac:dyDescent="0.2">
      <c r="A29" s="48" t="s">
        <v>948</v>
      </c>
      <c r="B29" s="96">
        <v>816</v>
      </c>
      <c r="C29" s="59" t="s">
        <v>991</v>
      </c>
      <c r="D29" s="49"/>
      <c r="E29" s="96"/>
      <c r="F29" s="59" t="s">
        <v>979</v>
      </c>
      <c r="G29" s="60" t="s">
        <v>948</v>
      </c>
      <c r="H29" s="192">
        <v>1</v>
      </c>
      <c r="I29" s="64">
        <v>0.217</v>
      </c>
      <c r="J29" s="65">
        <v>1553.35</v>
      </c>
      <c r="K29" s="65">
        <v>3.41</v>
      </c>
      <c r="L29" s="65">
        <v>3.41</v>
      </c>
      <c r="M29" s="66"/>
      <c r="N29" s="67"/>
      <c r="O29" s="67"/>
      <c r="P29" s="67"/>
    </row>
    <row r="30" spans="1:16" ht="30" customHeight="1" x14ac:dyDescent="0.2">
      <c r="A30" s="48" t="s">
        <v>949</v>
      </c>
      <c r="B30" s="96">
        <v>816</v>
      </c>
      <c r="C30" s="59" t="s">
        <v>992</v>
      </c>
      <c r="D30" s="49"/>
      <c r="E30" s="96"/>
      <c r="F30" s="59" t="s">
        <v>979</v>
      </c>
      <c r="G30" s="60" t="s">
        <v>949</v>
      </c>
      <c r="H30" s="192">
        <v>2</v>
      </c>
      <c r="I30" s="64">
        <v>0.217</v>
      </c>
      <c r="J30" s="65">
        <v>11254.69</v>
      </c>
      <c r="K30" s="65">
        <v>1.42</v>
      </c>
      <c r="L30" s="65">
        <v>1.42</v>
      </c>
      <c r="M30" s="66"/>
      <c r="N30" s="67"/>
      <c r="O30" s="67"/>
      <c r="P30" s="67"/>
    </row>
    <row r="31" spans="1:16" ht="15" customHeight="1" x14ac:dyDescent="0.2">
      <c r="A31" s="48" t="s">
        <v>950</v>
      </c>
      <c r="B31" s="96"/>
      <c r="C31" s="59" t="s">
        <v>1012</v>
      </c>
      <c r="D31" s="49"/>
      <c r="E31" s="96"/>
      <c r="F31" s="59" t="s">
        <v>979</v>
      </c>
      <c r="G31" s="60" t="s">
        <v>950</v>
      </c>
      <c r="H31" s="192">
        <v>3</v>
      </c>
      <c r="I31" s="64">
        <v>0</v>
      </c>
      <c r="J31" s="65">
        <v>28589.8</v>
      </c>
      <c r="K31" s="65">
        <v>2.5099999999999998</v>
      </c>
      <c r="L31" s="65">
        <v>2.5099999999999998</v>
      </c>
      <c r="M31" s="66"/>
      <c r="N31" s="67"/>
      <c r="O31" s="67"/>
      <c r="P31" s="67"/>
    </row>
    <row r="32" spans="1:16" ht="30" customHeight="1" x14ac:dyDescent="0.2">
      <c r="A32" s="48" t="s">
        <v>951</v>
      </c>
      <c r="B32" s="96">
        <v>818</v>
      </c>
      <c r="C32" s="59" t="s">
        <v>993</v>
      </c>
      <c r="D32" s="49"/>
      <c r="E32" s="96"/>
      <c r="F32" s="59" t="s">
        <v>979</v>
      </c>
      <c r="G32" s="60" t="s">
        <v>951</v>
      </c>
      <c r="H32" s="192">
        <v>4</v>
      </c>
      <c r="I32" s="64">
        <v>0</v>
      </c>
      <c r="J32" s="65">
        <v>79377.14</v>
      </c>
      <c r="K32" s="65">
        <v>2.3199999999999998</v>
      </c>
      <c r="L32" s="65">
        <v>2.3199999999999998</v>
      </c>
      <c r="M32" s="66"/>
      <c r="N32" s="67"/>
      <c r="O32" s="67"/>
      <c r="P32" s="67"/>
    </row>
    <row r="33" spans="1:16" ht="54.95" customHeight="1" x14ac:dyDescent="0.2">
      <c r="A33" s="48" t="s">
        <v>952</v>
      </c>
      <c r="B33" s="96">
        <v>801</v>
      </c>
      <c r="C33" s="59" t="s">
        <v>994</v>
      </c>
      <c r="D33" s="49"/>
      <c r="E33" s="96"/>
      <c r="F33" s="59" t="s">
        <v>979</v>
      </c>
      <c r="G33" s="60" t="s">
        <v>952</v>
      </c>
      <c r="H33" s="192">
        <v>4</v>
      </c>
      <c r="I33" s="64">
        <v>0</v>
      </c>
      <c r="J33" s="65">
        <v>79971.42</v>
      </c>
      <c r="K33" s="65">
        <v>1.74</v>
      </c>
      <c r="L33" s="65">
        <v>1.74</v>
      </c>
      <c r="M33" s="66"/>
      <c r="N33" s="67"/>
      <c r="O33" s="67"/>
      <c r="P33" s="67"/>
    </row>
    <row r="34" spans="1:16" ht="15" customHeight="1" x14ac:dyDescent="0.2">
      <c r="A34" s="48" t="s">
        <v>953</v>
      </c>
      <c r="B34" s="96">
        <v>804</v>
      </c>
      <c r="C34" s="59">
        <v>1200060323191</v>
      </c>
      <c r="D34" s="49"/>
      <c r="E34" s="96"/>
      <c r="F34" s="59" t="s">
        <v>979</v>
      </c>
      <c r="G34" s="60" t="s">
        <v>953</v>
      </c>
      <c r="H34" s="192">
        <v>4</v>
      </c>
      <c r="I34" s="64">
        <v>0</v>
      </c>
      <c r="J34" s="65">
        <v>77804.460000000006</v>
      </c>
      <c r="K34" s="65">
        <v>0.68</v>
      </c>
      <c r="L34" s="65">
        <v>0.68</v>
      </c>
      <c r="M34" s="66"/>
      <c r="N34" s="67"/>
      <c r="O34" s="67"/>
      <c r="P34" s="67"/>
    </row>
    <row r="35" spans="1:16" ht="30" customHeight="1" x14ac:dyDescent="0.2">
      <c r="A35" s="48" t="s">
        <v>954</v>
      </c>
      <c r="B35" s="96">
        <v>838</v>
      </c>
      <c r="C35" s="59" t="s">
        <v>995</v>
      </c>
      <c r="D35" s="49"/>
      <c r="E35" s="96"/>
      <c r="F35" s="59" t="s">
        <v>979</v>
      </c>
      <c r="G35" s="60" t="s">
        <v>954</v>
      </c>
      <c r="H35" s="192">
        <v>4</v>
      </c>
      <c r="I35" s="64">
        <v>1E-3</v>
      </c>
      <c r="J35" s="65">
        <v>111285.72</v>
      </c>
      <c r="K35" s="65">
        <v>2.81</v>
      </c>
      <c r="L35" s="65">
        <v>2.81</v>
      </c>
      <c r="M35" s="66"/>
      <c r="N35" s="67"/>
      <c r="O35" s="67"/>
      <c r="P35" s="67"/>
    </row>
    <row r="36" spans="1:16" ht="15" customHeight="1" x14ac:dyDescent="0.2">
      <c r="A36" s="48" t="s">
        <v>955</v>
      </c>
      <c r="B36" s="96">
        <v>837</v>
      </c>
      <c r="C36" s="59">
        <v>1200010200926</v>
      </c>
      <c r="D36" s="49"/>
      <c r="E36" s="96"/>
      <c r="F36" s="59" t="s">
        <v>979</v>
      </c>
      <c r="G36" s="60" t="s">
        <v>955</v>
      </c>
      <c r="H36" s="192">
        <v>4</v>
      </c>
      <c r="I36" s="64">
        <v>2E-3</v>
      </c>
      <c r="J36" s="65">
        <v>98926.85</v>
      </c>
      <c r="K36" s="65">
        <v>2.34</v>
      </c>
      <c r="L36" s="65">
        <v>2.34</v>
      </c>
      <c r="M36" s="66"/>
      <c r="N36" s="67"/>
      <c r="O36" s="67"/>
      <c r="P36" s="67"/>
    </row>
    <row r="37" spans="1:16" ht="30" customHeight="1" x14ac:dyDescent="0.2">
      <c r="A37" s="48" t="s">
        <v>956</v>
      </c>
      <c r="B37" s="96">
        <v>839</v>
      </c>
      <c r="C37" s="59" t="s">
        <v>996</v>
      </c>
      <c r="D37" s="49"/>
      <c r="E37" s="96"/>
      <c r="F37" s="59" t="s">
        <v>979</v>
      </c>
      <c r="G37" s="60" t="s">
        <v>956</v>
      </c>
      <c r="H37" s="192">
        <v>4</v>
      </c>
      <c r="I37" s="64">
        <v>0</v>
      </c>
      <c r="J37" s="65">
        <v>78217.279999999999</v>
      </c>
      <c r="K37" s="65">
        <v>3.81</v>
      </c>
      <c r="L37" s="65">
        <v>3.81</v>
      </c>
      <c r="M37" s="66"/>
      <c r="N37" s="67"/>
      <c r="O37" s="67"/>
      <c r="P37" s="67"/>
    </row>
    <row r="38" spans="1:16" ht="30" customHeight="1" x14ac:dyDescent="0.2">
      <c r="A38" s="48" t="s">
        <v>957</v>
      </c>
      <c r="B38" s="96">
        <v>806</v>
      </c>
      <c r="C38" s="59" t="s">
        <v>997</v>
      </c>
      <c r="D38" s="49"/>
      <c r="E38" s="96"/>
      <c r="F38" s="59" t="s">
        <v>979</v>
      </c>
      <c r="G38" s="60" t="s">
        <v>957</v>
      </c>
      <c r="H38" s="192">
        <v>1</v>
      </c>
      <c r="I38" s="64">
        <v>0.23699999999999999</v>
      </c>
      <c r="J38" s="65">
        <v>1553.35</v>
      </c>
      <c r="K38" s="65">
        <v>2.19</v>
      </c>
      <c r="L38" s="65">
        <v>2.19</v>
      </c>
      <c r="M38" s="66"/>
      <c r="N38" s="67"/>
      <c r="O38" s="67"/>
      <c r="P38" s="67"/>
    </row>
    <row r="39" spans="1:16" ht="30" customHeight="1" x14ac:dyDescent="0.2">
      <c r="A39" s="48" t="s">
        <v>958</v>
      </c>
      <c r="B39" s="96">
        <v>817</v>
      </c>
      <c r="C39" s="59" t="s">
        <v>998</v>
      </c>
      <c r="D39" s="49"/>
      <c r="E39" s="96"/>
      <c r="F39" s="59" t="s">
        <v>979</v>
      </c>
      <c r="G39" s="60" t="s">
        <v>958</v>
      </c>
      <c r="H39" s="192">
        <v>1</v>
      </c>
      <c r="I39" s="64">
        <v>0</v>
      </c>
      <c r="J39" s="65">
        <v>975.67</v>
      </c>
      <c r="K39" s="65">
        <v>0.86</v>
      </c>
      <c r="L39" s="65">
        <v>0.86</v>
      </c>
      <c r="M39" s="66"/>
      <c r="N39" s="67"/>
      <c r="O39" s="67"/>
      <c r="P39" s="67"/>
    </row>
    <row r="40" spans="1:16" ht="30" customHeight="1" x14ac:dyDescent="0.2">
      <c r="A40" s="48" t="s">
        <v>959</v>
      </c>
      <c r="B40" s="96">
        <v>807</v>
      </c>
      <c r="C40" s="59" t="s">
        <v>999</v>
      </c>
      <c r="D40" s="48" t="s">
        <v>959</v>
      </c>
      <c r="E40" s="96">
        <v>707</v>
      </c>
      <c r="F40" s="59" t="s">
        <v>1000</v>
      </c>
      <c r="G40" s="60" t="s">
        <v>959</v>
      </c>
      <c r="H40" s="192">
        <v>3</v>
      </c>
      <c r="I40" s="64">
        <v>8.0000000000000002E-3</v>
      </c>
      <c r="J40" s="65">
        <v>36853.769999999997</v>
      </c>
      <c r="K40" s="65">
        <v>4.32</v>
      </c>
      <c r="L40" s="65">
        <v>4.32</v>
      </c>
      <c r="M40" s="66"/>
      <c r="N40" s="67"/>
      <c r="O40" s="67"/>
      <c r="P40" s="67"/>
    </row>
    <row r="41" spans="1:16" ht="15" customHeight="1" x14ac:dyDescent="0.2">
      <c r="A41" s="48" t="s">
        <v>960</v>
      </c>
      <c r="B41" s="96">
        <v>847</v>
      </c>
      <c r="C41" s="59">
        <v>1200010251559</v>
      </c>
      <c r="D41" s="49"/>
      <c r="E41" s="96"/>
      <c r="F41" s="59" t="s">
        <v>979</v>
      </c>
      <c r="G41" s="60" t="s">
        <v>960</v>
      </c>
      <c r="H41" s="192">
        <v>4</v>
      </c>
      <c r="I41" s="64">
        <v>0.13</v>
      </c>
      <c r="J41" s="65">
        <v>72138.7</v>
      </c>
      <c r="K41" s="65">
        <v>3.11</v>
      </c>
      <c r="L41" s="65">
        <v>3.11</v>
      </c>
      <c r="M41" s="66"/>
      <c r="N41" s="67"/>
      <c r="O41" s="67"/>
      <c r="P41" s="67"/>
    </row>
    <row r="42" spans="1:16" ht="15" customHeight="1" x14ac:dyDescent="0.2">
      <c r="A42" s="48" t="s">
        <v>961</v>
      </c>
      <c r="B42" s="96">
        <v>846</v>
      </c>
      <c r="C42" s="59">
        <v>1200010251521</v>
      </c>
      <c r="D42" s="49"/>
      <c r="E42" s="96"/>
      <c r="F42" s="59" t="s">
        <v>979</v>
      </c>
      <c r="G42" s="60" t="s">
        <v>961</v>
      </c>
      <c r="H42" s="192">
        <v>1</v>
      </c>
      <c r="I42" s="64">
        <v>2E-3</v>
      </c>
      <c r="J42" s="65">
        <v>1103.23</v>
      </c>
      <c r="K42" s="65">
        <v>1.61</v>
      </c>
      <c r="L42" s="65">
        <v>1.61</v>
      </c>
      <c r="M42" s="66"/>
      <c r="N42" s="67"/>
      <c r="O42" s="67"/>
      <c r="P42" s="67"/>
    </row>
    <row r="43" spans="1:16" ht="15" customHeight="1" x14ac:dyDescent="0.2">
      <c r="A43" s="48" t="s">
        <v>962</v>
      </c>
      <c r="B43" s="96">
        <v>840</v>
      </c>
      <c r="C43" s="59">
        <v>1200010251540</v>
      </c>
      <c r="D43" s="49"/>
      <c r="E43" s="96"/>
      <c r="F43" s="59" t="s">
        <v>979</v>
      </c>
      <c r="G43" s="60" t="s">
        <v>962</v>
      </c>
      <c r="H43" s="192">
        <v>1</v>
      </c>
      <c r="I43" s="64">
        <v>0.03</v>
      </c>
      <c r="J43" s="65">
        <v>1230.79</v>
      </c>
      <c r="K43" s="65">
        <v>1.1100000000000001</v>
      </c>
      <c r="L43" s="65">
        <v>1.1100000000000001</v>
      </c>
      <c r="M43" s="66"/>
      <c r="N43" s="67"/>
      <c r="O43" s="67"/>
      <c r="P43" s="67"/>
    </row>
    <row r="44" spans="1:16" ht="15" customHeight="1" x14ac:dyDescent="0.2">
      <c r="A44" s="48" t="s">
        <v>963</v>
      </c>
      <c r="B44" s="96">
        <v>841</v>
      </c>
      <c r="C44" s="59">
        <v>1200010251512</v>
      </c>
      <c r="D44" s="49"/>
      <c r="E44" s="96"/>
      <c r="F44" s="59" t="s">
        <v>979</v>
      </c>
      <c r="G44" s="60" t="s">
        <v>963</v>
      </c>
      <c r="H44" s="192">
        <v>3</v>
      </c>
      <c r="I44" s="64">
        <v>0</v>
      </c>
      <c r="J44" s="65">
        <v>37581.58</v>
      </c>
      <c r="K44" s="65">
        <v>2.81</v>
      </c>
      <c r="L44" s="65">
        <v>2.81</v>
      </c>
      <c r="M44" s="66"/>
      <c r="N44" s="67"/>
      <c r="O44" s="67"/>
      <c r="P44" s="67"/>
    </row>
    <row r="45" spans="1:16" ht="15" customHeight="1" x14ac:dyDescent="0.2">
      <c r="A45" s="48" t="s">
        <v>964</v>
      </c>
      <c r="B45" s="96">
        <v>842</v>
      </c>
      <c r="C45" s="59">
        <v>1200010251498</v>
      </c>
      <c r="D45" s="48" t="s">
        <v>964</v>
      </c>
      <c r="E45" s="96">
        <v>703</v>
      </c>
      <c r="F45" s="59">
        <v>1200052486866</v>
      </c>
      <c r="G45" s="60" t="s">
        <v>964</v>
      </c>
      <c r="H45" s="192">
        <v>3</v>
      </c>
      <c r="I45" s="64">
        <v>1.6E-2</v>
      </c>
      <c r="J45" s="65">
        <v>36223.61</v>
      </c>
      <c r="K45" s="65">
        <v>3.15</v>
      </c>
      <c r="L45" s="65">
        <v>3.15</v>
      </c>
      <c r="M45" s="66"/>
      <c r="N45" s="67"/>
      <c r="O45" s="67"/>
      <c r="P45" s="67"/>
    </row>
    <row r="46" spans="1:16" ht="15" customHeight="1" x14ac:dyDescent="0.2">
      <c r="A46" s="48" t="s">
        <v>965</v>
      </c>
      <c r="B46" s="96">
        <v>848</v>
      </c>
      <c r="C46" s="59">
        <v>1200010251568</v>
      </c>
      <c r="D46" s="48" t="s">
        <v>965</v>
      </c>
      <c r="E46" s="96">
        <v>716</v>
      </c>
      <c r="F46" s="59">
        <v>1200052486875</v>
      </c>
      <c r="G46" s="60" t="s">
        <v>965</v>
      </c>
      <c r="H46" s="192">
        <v>4</v>
      </c>
      <c r="I46" s="64">
        <v>0.214</v>
      </c>
      <c r="J46" s="65">
        <v>76588.56</v>
      </c>
      <c r="K46" s="65">
        <v>2.56</v>
      </c>
      <c r="L46" s="65">
        <v>2.56</v>
      </c>
      <c r="M46" s="66">
        <v>0</v>
      </c>
      <c r="N46" s="67">
        <v>631.91999999999996</v>
      </c>
      <c r="O46" s="67">
        <v>0.05</v>
      </c>
      <c r="P46" s="67">
        <v>0.05</v>
      </c>
    </row>
    <row r="47" spans="1:16" ht="15" customHeight="1" x14ac:dyDescent="0.2">
      <c r="A47" s="48" t="s">
        <v>966</v>
      </c>
      <c r="B47" s="96">
        <v>849</v>
      </c>
      <c r="C47" s="59">
        <v>1200050493611</v>
      </c>
      <c r="D47" s="49"/>
      <c r="E47" s="96"/>
      <c r="F47" s="59" t="s">
        <v>979</v>
      </c>
      <c r="G47" s="60" t="s">
        <v>966</v>
      </c>
      <c r="H47" s="192">
        <v>1</v>
      </c>
      <c r="I47" s="64">
        <v>5.8810000000000002</v>
      </c>
      <c r="J47" s="65">
        <v>1103.23</v>
      </c>
      <c r="K47" s="65">
        <v>2.68</v>
      </c>
      <c r="L47" s="65">
        <v>2.68</v>
      </c>
      <c r="M47" s="66"/>
      <c r="N47" s="67"/>
      <c r="O47" s="67"/>
      <c r="P47" s="67"/>
    </row>
    <row r="48" spans="1:16" ht="15" customHeight="1" x14ac:dyDescent="0.2">
      <c r="A48" s="48" t="s">
        <v>967</v>
      </c>
      <c r="B48" s="96">
        <v>844</v>
      </c>
      <c r="C48" s="59">
        <v>1200010200874</v>
      </c>
      <c r="D48" s="49"/>
      <c r="E48" s="96"/>
      <c r="F48" s="59" t="s">
        <v>979</v>
      </c>
      <c r="G48" s="60" t="s">
        <v>967</v>
      </c>
      <c r="H48" s="192">
        <v>4</v>
      </c>
      <c r="I48" s="64">
        <v>0.19700000000000001</v>
      </c>
      <c r="J48" s="65">
        <v>81222.03</v>
      </c>
      <c r="K48" s="65">
        <v>2.2799999999999998</v>
      </c>
      <c r="L48" s="65">
        <v>2.2799999999999998</v>
      </c>
      <c r="M48" s="66"/>
      <c r="N48" s="67"/>
      <c r="O48" s="67"/>
      <c r="P48" s="67"/>
    </row>
    <row r="49" spans="1:18" ht="30" customHeight="1" x14ac:dyDescent="0.2">
      <c r="A49" s="48" t="s">
        <v>968</v>
      </c>
      <c r="B49" s="96">
        <v>809</v>
      </c>
      <c r="C49" s="59" t="s">
        <v>1001</v>
      </c>
      <c r="D49" s="49"/>
      <c r="E49" s="96"/>
      <c r="F49" s="59" t="s">
        <v>979</v>
      </c>
      <c r="G49" s="60" t="s">
        <v>968</v>
      </c>
      <c r="H49" s="192">
        <v>4</v>
      </c>
      <c r="I49" s="64">
        <v>3.0000000000000001E-3</v>
      </c>
      <c r="J49" s="65">
        <v>70205.31</v>
      </c>
      <c r="K49" s="65">
        <v>2.96</v>
      </c>
      <c r="L49" s="65">
        <v>2.96</v>
      </c>
      <c r="M49" s="66"/>
      <c r="N49" s="67"/>
      <c r="O49" s="67"/>
      <c r="P49" s="67"/>
    </row>
    <row r="50" spans="1:18" ht="54.95" customHeight="1" x14ac:dyDescent="0.2">
      <c r="A50" s="48" t="s">
        <v>969</v>
      </c>
      <c r="B50" s="96">
        <v>828</v>
      </c>
      <c r="C50" s="59" t="s">
        <v>1002</v>
      </c>
      <c r="D50" s="48" t="s">
        <v>969</v>
      </c>
      <c r="E50" s="96">
        <v>701</v>
      </c>
      <c r="F50" s="59" t="s">
        <v>1003</v>
      </c>
      <c r="G50" s="60" t="s">
        <v>969</v>
      </c>
      <c r="H50" s="192">
        <v>4</v>
      </c>
      <c r="I50" s="64">
        <v>0</v>
      </c>
      <c r="J50" s="65">
        <v>72666.02</v>
      </c>
      <c r="K50" s="65">
        <v>0.78</v>
      </c>
      <c r="L50" s="65">
        <v>0.78</v>
      </c>
      <c r="M50" s="66">
        <v>0</v>
      </c>
      <c r="N50" s="67">
        <v>1529.31</v>
      </c>
      <c r="O50" s="67">
        <v>0.05</v>
      </c>
      <c r="P50" s="67">
        <v>0.05</v>
      </c>
    </row>
    <row r="51" spans="1:18" ht="30" customHeight="1" x14ac:dyDescent="0.2">
      <c r="A51" s="215" t="s">
        <v>970</v>
      </c>
      <c r="B51" s="216">
        <v>802</v>
      </c>
      <c r="C51" s="217" t="s">
        <v>1004</v>
      </c>
      <c r="D51" s="215" t="s">
        <v>970</v>
      </c>
      <c r="E51" s="216">
        <v>702</v>
      </c>
      <c r="F51" s="217" t="s">
        <v>1005</v>
      </c>
      <c r="G51" s="218" t="s">
        <v>970</v>
      </c>
      <c r="H51" s="219">
        <v>4</v>
      </c>
      <c r="I51" s="220">
        <v>0</v>
      </c>
      <c r="J51" s="221">
        <v>71987.77</v>
      </c>
      <c r="K51" s="221">
        <v>4.3600000000000003</v>
      </c>
      <c r="L51" s="221">
        <v>4.3600000000000003</v>
      </c>
      <c r="M51" s="222">
        <v>-2E-3</v>
      </c>
      <c r="N51" s="223">
        <v>2358.9899999999998</v>
      </c>
      <c r="O51" s="223">
        <v>0.05</v>
      </c>
      <c r="P51" s="223">
        <v>0.05</v>
      </c>
    </row>
    <row r="52" spans="1:18" ht="54.95" customHeight="1" x14ac:dyDescent="0.2">
      <c r="A52" s="48" t="s">
        <v>971</v>
      </c>
      <c r="B52" s="96">
        <v>823</v>
      </c>
      <c r="C52" s="59" t="s">
        <v>1006</v>
      </c>
      <c r="D52" s="49"/>
      <c r="E52" s="96"/>
      <c r="F52" s="59" t="s">
        <v>979</v>
      </c>
      <c r="G52" s="60" t="s">
        <v>971</v>
      </c>
      <c r="H52" s="192">
        <v>1</v>
      </c>
      <c r="I52" s="64">
        <v>1.454</v>
      </c>
      <c r="J52" s="65">
        <v>1230.79</v>
      </c>
      <c r="K52" s="65">
        <v>0.78</v>
      </c>
      <c r="L52" s="65">
        <v>0.78</v>
      </c>
      <c r="M52" s="66"/>
      <c r="N52" s="67"/>
      <c r="O52" s="67"/>
      <c r="P52" s="67"/>
    </row>
    <row r="53" spans="1:18" ht="30" customHeight="1" x14ac:dyDescent="0.2">
      <c r="A53" s="48" t="s">
        <v>972</v>
      </c>
      <c r="B53" s="96">
        <v>803</v>
      </c>
      <c r="C53" s="59" t="s">
        <v>1007</v>
      </c>
      <c r="D53" s="49"/>
      <c r="E53" s="96"/>
      <c r="F53" s="59" t="s">
        <v>979</v>
      </c>
      <c r="G53" s="60" t="s">
        <v>972</v>
      </c>
      <c r="H53" s="192">
        <v>2</v>
      </c>
      <c r="I53" s="64">
        <v>0.20699999999999999</v>
      </c>
      <c r="J53" s="65">
        <v>12519.87</v>
      </c>
      <c r="K53" s="65">
        <v>2.92</v>
      </c>
      <c r="L53" s="65">
        <v>2.92</v>
      </c>
      <c r="M53" s="66"/>
      <c r="N53" s="67"/>
      <c r="O53" s="67"/>
      <c r="P53" s="67"/>
    </row>
    <row r="54" spans="1:18" s="198" customFormat="1" ht="15" customHeight="1" x14ac:dyDescent="0.2">
      <c r="A54" s="48" t="s">
        <v>973</v>
      </c>
      <c r="B54" s="96">
        <v>865</v>
      </c>
      <c r="C54" s="59">
        <v>1200063126740</v>
      </c>
      <c r="D54" s="48"/>
      <c r="E54" s="96"/>
      <c r="F54" s="59"/>
      <c r="G54" s="60" t="s">
        <v>973</v>
      </c>
      <c r="H54" s="192">
        <v>0</v>
      </c>
      <c r="I54" s="64">
        <v>0</v>
      </c>
      <c r="J54" s="65">
        <v>29394.67</v>
      </c>
      <c r="K54" s="65">
        <v>1.06</v>
      </c>
      <c r="L54" s="65">
        <v>1.06</v>
      </c>
      <c r="M54" s="66"/>
      <c r="N54" s="67"/>
      <c r="O54" s="67"/>
      <c r="P54" s="67"/>
      <c r="Q54" s="53"/>
      <c r="R54" s="53"/>
    </row>
    <row r="55" spans="1:18" ht="15" customHeight="1" x14ac:dyDescent="0.2">
      <c r="A55" s="48" t="s">
        <v>974</v>
      </c>
      <c r="B55" s="96">
        <v>815</v>
      </c>
      <c r="C55" s="59">
        <v>1200060787109</v>
      </c>
      <c r="D55" s="48" t="s">
        <v>974</v>
      </c>
      <c r="E55" s="96">
        <v>711</v>
      </c>
      <c r="F55" s="59">
        <v>1200060787118</v>
      </c>
      <c r="G55" s="60" t="s">
        <v>974</v>
      </c>
      <c r="H55" s="192">
        <v>0</v>
      </c>
      <c r="I55" s="64">
        <v>0</v>
      </c>
      <c r="J55" s="65">
        <v>545.58000000000004</v>
      </c>
      <c r="K55" s="65">
        <v>0.68</v>
      </c>
      <c r="L55" s="65">
        <v>0.68</v>
      </c>
      <c r="M55" s="66">
        <v>0</v>
      </c>
      <c r="N55" s="67">
        <v>1033.4000000000001</v>
      </c>
      <c r="O55" s="67">
        <v>0.05</v>
      </c>
      <c r="P55" s="67">
        <v>0.05</v>
      </c>
    </row>
    <row r="56" spans="1:18" ht="15" customHeight="1" x14ac:dyDescent="0.2">
      <c r="A56" s="48" t="s">
        <v>975</v>
      </c>
      <c r="B56" s="96">
        <v>827</v>
      </c>
      <c r="C56" s="59">
        <v>1200010175650</v>
      </c>
      <c r="D56" s="48" t="s">
        <v>975</v>
      </c>
      <c r="E56" s="96">
        <v>730</v>
      </c>
      <c r="F56" s="59">
        <v>1200010258304</v>
      </c>
      <c r="G56" s="60" t="s">
        <v>975</v>
      </c>
      <c r="H56" s="192">
        <v>1</v>
      </c>
      <c r="I56" s="64">
        <v>0.30399999999999999</v>
      </c>
      <c r="J56" s="65">
        <v>1458.55</v>
      </c>
      <c r="K56" s="65">
        <v>1.1100000000000001</v>
      </c>
      <c r="L56" s="65">
        <v>1.1100000000000001</v>
      </c>
      <c r="M56" s="66">
        <v>-0.30399999999999999</v>
      </c>
      <c r="N56" s="67">
        <v>5121.3999999999996</v>
      </c>
      <c r="O56" s="67">
        <v>0.05</v>
      </c>
      <c r="P56" s="67">
        <v>0.05</v>
      </c>
    </row>
    <row r="57" spans="1:18" ht="15" customHeight="1" x14ac:dyDescent="0.2">
      <c r="A57" s="48" t="s">
        <v>976</v>
      </c>
      <c r="B57" s="96"/>
      <c r="C57" s="59" t="s">
        <v>1013</v>
      </c>
      <c r="D57" s="48" t="s">
        <v>976</v>
      </c>
      <c r="E57" s="96"/>
      <c r="F57" s="59" t="s">
        <v>1013</v>
      </c>
      <c r="G57" s="60" t="s">
        <v>976</v>
      </c>
      <c r="H57" s="192">
        <v>1</v>
      </c>
      <c r="I57" s="64">
        <v>1.4E-2</v>
      </c>
      <c r="J57" s="65">
        <v>975.67</v>
      </c>
      <c r="K57" s="65">
        <v>0.99</v>
      </c>
      <c r="L57" s="65">
        <v>0.99</v>
      </c>
      <c r="M57" s="66">
        <v>-1.4E-2</v>
      </c>
      <c r="N57" s="67">
        <v>0</v>
      </c>
      <c r="O57" s="67">
        <v>0.05</v>
      </c>
      <c r="P57" s="67">
        <v>0.05</v>
      </c>
    </row>
    <row r="58" spans="1:18" ht="12.75" x14ac:dyDescent="0.2"/>
  </sheetData>
  <mergeCells count="11">
    <mergeCell ref="C1:P1"/>
    <mergeCell ref="D7:F7"/>
    <mergeCell ref="D8:F8"/>
    <mergeCell ref="A5:C5"/>
    <mergeCell ref="A6:C6"/>
    <mergeCell ref="A7:C7"/>
    <mergeCell ref="A8:C8"/>
    <mergeCell ref="A4:F4"/>
    <mergeCell ref="D5:F5"/>
    <mergeCell ref="D6:F6"/>
    <mergeCell ref="A2:P2"/>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3" width="9.140625" style="53"/>
    <col min="14" max="14" width="9.42578125" style="53" bestFit="1" customWidth="1"/>
    <col min="15" max="16384" width="9.140625" style="53"/>
  </cols>
  <sheetData>
    <row r="1" spans="1:14" ht="66.75" customHeight="1" x14ac:dyDescent="0.2">
      <c r="A1" s="253" t="s">
        <v>1502</v>
      </c>
      <c r="B1" s="253"/>
      <c r="C1" s="253"/>
      <c r="D1" s="253"/>
      <c r="E1" s="253"/>
      <c r="F1" s="253"/>
      <c r="G1" s="253"/>
      <c r="H1" s="253"/>
    </row>
    <row r="2" spans="1:14" s="54" customFormat="1" ht="25.5" customHeight="1" x14ac:dyDescent="0.2">
      <c r="A2" s="250" t="str">
        <f>Overview!B4&amp; " - Effective from "&amp;Overview!D4&amp;" - "&amp;Overview!E4&amp;" Designated EHV import charges"</f>
        <v>London Power Networks - Effective from 1 April 2027 - Final Designated EHV import charges</v>
      </c>
      <c r="B2" s="251"/>
      <c r="C2" s="251"/>
      <c r="D2" s="251"/>
      <c r="E2" s="251"/>
      <c r="F2" s="251"/>
      <c r="G2" s="251"/>
      <c r="H2" s="252"/>
    </row>
    <row r="3" spans="1:14" s="85" customFormat="1" ht="18" x14ac:dyDescent="0.2">
      <c r="A3" s="89"/>
      <c r="B3" s="89"/>
      <c r="C3" s="89"/>
      <c r="D3" s="90"/>
      <c r="E3" s="91"/>
      <c r="F3" s="91"/>
      <c r="G3" s="92"/>
      <c r="H3" s="92"/>
      <c r="I3" s="84"/>
      <c r="J3" s="84"/>
      <c r="K3" s="84"/>
      <c r="L3" s="84"/>
      <c r="M3" s="84"/>
      <c r="N3" s="84"/>
    </row>
    <row r="4" spans="1:14" ht="60.75" customHeight="1" x14ac:dyDescent="0.2">
      <c r="A4" s="55" t="s">
        <v>46</v>
      </c>
      <c r="B4" s="56" t="s">
        <v>652</v>
      </c>
      <c r="C4" s="55" t="s">
        <v>31</v>
      </c>
      <c r="D4" s="57" t="s">
        <v>26</v>
      </c>
      <c r="E4" s="129" t="str">
        <f>'Annex 2 Designated EHV charges'!I10</f>
        <v>Import
Super Red
unit charge
(p/kWh)</v>
      </c>
      <c r="F4" s="129" t="str">
        <f>'Annex 2 Designated EHV charges'!J10</f>
        <v>Import
fixed charge
(p/day)</v>
      </c>
      <c r="G4" s="129" t="str">
        <f>'Annex 2 Designated EHV charges'!K10</f>
        <v>Import
capacity charge
(p/kVA/day)</v>
      </c>
      <c r="H4" s="129" t="str">
        <f>'Annex 2 Designated EHV charges'!L10</f>
        <v>Import
exceeded capacity charge
(p/kVA/day)</v>
      </c>
    </row>
    <row r="5" spans="1:14" ht="25.5" x14ac:dyDescent="0.2">
      <c r="A5" s="97" t="str">
        <f t="array" ref="A5">IFERROR(INDEX('Annex 2 Designated EHV charges'!$A$11:$A$58, MATCH(0, IF(ISBLANK('Annex 2 Designated EHV charges'!$A$11:$A$58),1, COUNTIF(A$4:$A4, 'Annex 2 Designated EHV charges'!$A$11:$A$58)), 0)),"")</f>
        <v>21MOOR</v>
      </c>
      <c r="B5" s="97">
        <f>IF($A5="","",VLOOKUP($A5,'Annex 2 Designated EHV charges'!$A:$O,2,0))</f>
        <v>854</v>
      </c>
      <c r="C5" s="98" t="str">
        <f>IF($A5="","",VLOOKUP($A5,'Annex 2 Designated EHV charges'!$A:$O,3,0))</f>
        <v>1200062747376;1200062747385</v>
      </c>
      <c r="D5" s="97" t="str">
        <f>IF($A5="","",VLOOKUP($A5,'Annex 2 Designated EHV charges'!$A:$O,7,0))</f>
        <v>21MOOR</v>
      </c>
      <c r="E5" s="101">
        <f>IFERROR(IF(VLOOKUP($A5,'Annex 2 Designated EHV charges'!$A:$P,9,FALSE)=0,"",VLOOKUP($A5,'Annex 2 Designated EHV charges'!$A:$P,9,FALSE)),"")</f>
        <v>0.219</v>
      </c>
      <c r="F5" s="207">
        <f>IFERROR(IF(VLOOKUP($A5,'Annex 2 Designated EHV charges'!$A:$P,10,FALSE)=0,"",VLOOKUP($A5,'Annex 2 Designated EHV charges'!$A:$P,10,FALSE)),"")</f>
        <v>11254.69</v>
      </c>
      <c r="G5" s="102">
        <f>IFERROR(IF(VLOOKUP($A5,'Annex 2 Designated EHV charges'!$A:$P,11,FALSE)=0,"",VLOOKUP($A5,'Annex 2 Designated EHV charges'!$A:$P,11,FALSE)),"")</f>
        <v>2.68</v>
      </c>
      <c r="H5" s="102">
        <f>IFERROR(IF(VLOOKUP($A5,'Annex 2 Designated EHV charges'!$A:$P,12,FALSE)=0,"",VLOOKUP($A5,'Annex 2 Designated EHV charges'!$A:$P,12,FALSE)),"")</f>
        <v>2.68</v>
      </c>
    </row>
    <row r="6" spans="1:14" ht="25.5" x14ac:dyDescent="0.2">
      <c r="A6" s="97" t="str">
        <f t="array" ref="A6">IFERROR(INDEX('Annex 2 Designated EHV charges'!$A$11:$A$58, MATCH(0, IF(ISBLANK('Annex 2 Designated EHV charges'!$A$11:$A$58),1, COUNTIF(A$4:$A5, 'Annex 2 Designated EHV charges'!$A$11:$A$58)), 0)),"")</f>
        <v>22BSHP</v>
      </c>
      <c r="B6" s="97">
        <f>IF($A6="","",VLOOKUP($A6,'Annex 2 Designated EHV charges'!$A:$O,2,0))</f>
        <v>810</v>
      </c>
      <c r="C6" s="98" t="str">
        <f>IF($A6="","",VLOOKUP($A6,'Annex 2 Designated EHV charges'!$A:$O,3,0))</f>
        <v>1200062355497;1200062355502</v>
      </c>
      <c r="D6" s="97" t="str">
        <f>IF($A6="","",VLOOKUP($A6,'Annex 2 Designated EHV charges'!$A:$O,7,0))</f>
        <v>22BSHP</v>
      </c>
      <c r="E6" s="101">
        <f>IFERROR(IF(VLOOKUP($A6,'Annex 2 Designated EHV charges'!$A:$P,9,FALSE)=0,"",VLOOKUP($A6,'Annex 2 Designated EHV charges'!$A:$P,9,FALSE)),"")</f>
        <v>0.20799999999999999</v>
      </c>
      <c r="F6" s="207">
        <f>IFERROR(IF(VLOOKUP($A6,'Annex 2 Designated EHV charges'!$A:$P,10,FALSE)=0,"",VLOOKUP($A6,'Annex 2 Designated EHV charges'!$A:$P,10,FALSE)),"")</f>
        <v>28784.81</v>
      </c>
      <c r="G6" s="102">
        <f>IFERROR(IF(VLOOKUP($A6,'Annex 2 Designated EHV charges'!$A:$P,11,FALSE)=0,"",VLOOKUP($A6,'Annex 2 Designated EHV charges'!$A:$P,11,FALSE)),"")</f>
        <v>2.74</v>
      </c>
      <c r="H6" s="102">
        <f>IFERROR(IF(VLOOKUP($A6,'Annex 2 Designated EHV charges'!$A:$P,12,FALSE)=0,"",VLOOKUP($A6,'Annex 2 Designated EHV charges'!$A:$P,12,FALSE)),"")</f>
        <v>2.74</v>
      </c>
    </row>
    <row r="7" spans="1:14" ht="25.5" x14ac:dyDescent="0.2">
      <c r="A7" s="97" t="str">
        <f t="array" ref="A7">IFERROR(INDEX('Annex 2 Designated EHV charges'!$A$11:$A$58, MATCH(0, IF(ISBLANK('Annex 2 Designated EHV charges'!$A$11:$A$58),1, COUNTIF(A$4:$A6, 'Annex 2 Designated EHV charges'!$A$11:$A$58)), 0)),"")</f>
        <v>BISHPC</v>
      </c>
      <c r="B7" s="97">
        <f>IF($A7="","",VLOOKUP($A7,'Annex 2 Designated EHV charges'!$A:$O,2,0))</f>
        <v>811</v>
      </c>
      <c r="C7" s="98" t="str">
        <f>IF($A7="","",VLOOKUP($A7,'Annex 2 Designated EHV charges'!$A:$O,3,0))</f>
        <v>1200061143976;1200061143985</v>
      </c>
      <c r="D7" s="97" t="str">
        <f>IF($A7="","",VLOOKUP($A7,'Annex 2 Designated EHV charges'!$A:$O,7,0))</f>
        <v>BISHPC</v>
      </c>
      <c r="E7" s="101">
        <f>IFERROR(IF(VLOOKUP($A7,'Annex 2 Designated EHV charges'!$A:$P,9,FALSE)=0,"",VLOOKUP($A7,'Annex 2 Designated EHV charges'!$A:$P,9,FALSE)),"")</f>
        <v>0.19700000000000001</v>
      </c>
      <c r="F7" s="207">
        <f>IFERROR(IF(VLOOKUP($A7,'Annex 2 Designated EHV charges'!$A:$P,10,FALSE)=0,"",VLOOKUP($A7,'Annex 2 Designated EHV charges'!$A:$P,10,FALSE)),"")</f>
        <v>28784.81</v>
      </c>
      <c r="G7" s="102">
        <f>IFERROR(IF(VLOOKUP($A7,'Annex 2 Designated EHV charges'!$A:$P,11,FALSE)=0,"",VLOOKUP($A7,'Annex 2 Designated EHV charges'!$A:$P,11,FALSE)),"")</f>
        <v>2.74</v>
      </c>
      <c r="H7" s="102">
        <f>IFERROR(IF(VLOOKUP($A7,'Annex 2 Designated EHV charges'!$A:$P,12,FALSE)=0,"",VLOOKUP($A7,'Annex 2 Designated EHV charges'!$A:$P,12,FALSE)),"")</f>
        <v>2.74</v>
      </c>
    </row>
    <row r="8" spans="1:14" ht="25.5" x14ac:dyDescent="0.2">
      <c r="A8" s="97" t="str">
        <f t="array" ref="A8">IFERROR(INDEX('Annex 2 Designated EHV charges'!$A$11:$A$58, MATCH(0, IF(ISBLANK('Annex 2 Designated EHV charges'!$A$11:$A$58),1, COUNTIF(A$4:$A7, 'Annex 2 Designated EHV charges'!$A$11:$A$58)), 0)),"")</f>
        <v>BLMBGN</v>
      </c>
      <c r="B8" s="97">
        <f>IF($A8="","",VLOOKUP($A8,'Annex 2 Designated EHV charges'!$A:$O,2,0))</f>
        <v>820</v>
      </c>
      <c r="C8" s="98" t="str">
        <f>IF($A8="","",VLOOKUP($A8,'Annex 2 Designated EHV charges'!$A:$O,3,0))</f>
        <v>1200061385700;1200061385710</v>
      </c>
      <c r="D8" s="97" t="str">
        <f>IF($A8="","",VLOOKUP($A8,'Annex 2 Designated EHV charges'!$A:$O,7,0))</f>
        <v>BLMBGN</v>
      </c>
      <c r="E8" s="101">
        <f>IFERROR(IF(VLOOKUP($A8,'Annex 2 Designated EHV charges'!$A:$P,9,FALSE)=0,"",VLOOKUP($A8,'Annex 2 Designated EHV charges'!$A:$P,9,FALSE)),"")</f>
        <v>0.216</v>
      </c>
      <c r="F8" s="207">
        <f>IFERROR(IF(VLOOKUP($A8,'Annex 2 Designated EHV charges'!$A:$P,10,FALSE)=0,"",VLOOKUP($A8,'Annex 2 Designated EHV charges'!$A:$P,10,FALSE)),"")</f>
        <v>11254.69</v>
      </c>
      <c r="G8" s="102">
        <f>IFERROR(IF(VLOOKUP($A8,'Annex 2 Designated EHV charges'!$A:$P,11,FALSE)=0,"",VLOOKUP($A8,'Annex 2 Designated EHV charges'!$A:$P,11,FALSE)),"")</f>
        <v>2.59</v>
      </c>
      <c r="H8" s="102">
        <f>IFERROR(IF(VLOOKUP($A8,'Annex 2 Designated EHV charges'!$A:$P,12,FALSE)=0,"",VLOOKUP($A8,'Annex 2 Designated EHV charges'!$A:$P,12,FALSE)),"")</f>
        <v>2.59</v>
      </c>
    </row>
    <row r="9" spans="1:14" ht="25.5" x14ac:dyDescent="0.2">
      <c r="A9" s="97" t="str">
        <f t="array" ref="A9">IFERROR(INDEX('Annex 2 Designated EHV charges'!$A$11:$A$58, MATCH(0, IF(ISBLANK('Annex 2 Designated EHV charges'!$A$11:$A$58),1, COUNTIF(A$4:$A8, 'Annex 2 Designated EHV charges'!$A$11:$A$58)), 0)),"")</f>
        <v>BLMBGS</v>
      </c>
      <c r="B9" s="97">
        <f>IF($A9="","",VLOOKUP($A9,'Annex 2 Designated EHV charges'!$A:$O,2,0))</f>
        <v>821</v>
      </c>
      <c r="C9" s="98" t="str">
        <f>IF($A9="","",VLOOKUP($A9,'Annex 2 Designated EHV charges'!$A:$O,3,0))</f>
        <v>1200061385729;1200061385738</v>
      </c>
      <c r="D9" s="97" t="str">
        <f>IF($A9="","",VLOOKUP($A9,'Annex 2 Designated EHV charges'!$A:$O,7,0))</f>
        <v>BLMBGS</v>
      </c>
      <c r="E9" s="101">
        <f>IFERROR(IF(VLOOKUP($A9,'Annex 2 Designated EHV charges'!$A:$P,9,FALSE)=0,"",VLOOKUP($A9,'Annex 2 Designated EHV charges'!$A:$P,9,FALSE)),"")</f>
        <v>0.215</v>
      </c>
      <c r="F9" s="207">
        <f>IFERROR(IF(VLOOKUP($A9,'Annex 2 Designated EHV charges'!$A:$P,10,FALSE)=0,"",VLOOKUP($A9,'Annex 2 Designated EHV charges'!$A:$P,10,FALSE)),"")</f>
        <v>11254.69</v>
      </c>
      <c r="G9" s="102">
        <f>IFERROR(IF(VLOOKUP($A9,'Annex 2 Designated EHV charges'!$A:$P,11,FALSE)=0,"",VLOOKUP($A9,'Annex 2 Designated EHV charges'!$A:$P,11,FALSE)),"")</f>
        <v>1.96</v>
      </c>
      <c r="H9" s="102">
        <f>IFERROR(IF(VLOOKUP($A9,'Annex 2 Designated EHV charges'!$A:$P,12,FALSE)=0,"",VLOOKUP($A9,'Annex 2 Designated EHV charges'!$A:$P,12,FALSE)),"")</f>
        <v>1.96</v>
      </c>
    </row>
    <row r="10" spans="1:14" ht="25.5" x14ac:dyDescent="0.2">
      <c r="A10" s="97" t="str">
        <f t="array" ref="A10">IFERROR(INDEX('Annex 2 Designated EHV charges'!$A$11:$A$58, MATCH(0, IF(ISBLANK('Annex 2 Designated EHV charges'!$A$11:$A$58),1, COUNTIF(A$4:$A9, 'Annex 2 Designated EHV charges'!$A$11:$A$58)), 0)),"")</f>
        <v>BRDGTE</v>
      </c>
      <c r="B10" s="97">
        <f>IF($A10="","",VLOOKUP($A10,'Annex 2 Designated EHV charges'!$A:$O,2,0))</f>
        <v>805</v>
      </c>
      <c r="C10" s="98" t="str">
        <f>IF($A10="","",VLOOKUP($A10,'Annex 2 Designated EHV charges'!$A:$O,3,0))</f>
        <v>1200061148014;1200061148023</v>
      </c>
      <c r="D10" s="97" t="str">
        <f>IF($A10="","",VLOOKUP($A10,'Annex 2 Designated EHV charges'!$A:$O,7,0))</f>
        <v>BRDGTE</v>
      </c>
      <c r="E10" s="101">
        <f>IFERROR(IF(VLOOKUP($A10,'Annex 2 Designated EHV charges'!$A:$P,9,FALSE)=0,"",VLOOKUP($A10,'Annex 2 Designated EHV charges'!$A:$P,9,FALSE)),"")</f>
        <v>0.20699999999999999</v>
      </c>
      <c r="F10" s="207">
        <f>IFERROR(IF(VLOOKUP($A10,'Annex 2 Designated EHV charges'!$A:$P,10,FALSE)=0,"",VLOOKUP($A10,'Annex 2 Designated EHV charges'!$A:$P,10,FALSE)),"")</f>
        <v>11254.69</v>
      </c>
      <c r="G10" s="102">
        <f>IFERROR(IF(VLOOKUP($A10,'Annex 2 Designated EHV charges'!$A:$P,11,FALSE)=0,"",VLOOKUP($A10,'Annex 2 Designated EHV charges'!$A:$P,11,FALSE)),"")</f>
        <v>3.34</v>
      </c>
      <c r="H10" s="102">
        <f>IFERROR(IF(VLOOKUP($A10,'Annex 2 Designated EHV charges'!$A:$P,12,FALSE)=0,"",VLOOKUP($A10,'Annex 2 Designated EHV charges'!$A:$P,12,FALSE)),"")</f>
        <v>3.34</v>
      </c>
    </row>
    <row r="11" spans="1:14" ht="25.5" x14ac:dyDescent="0.2">
      <c r="A11" s="97" t="str">
        <f t="array" ref="A11">IFERROR(INDEX('Annex 2 Designated EHV charges'!$A$11:$A$58, MATCH(0, IF(ISBLANK('Annex 2 Designated EHV charges'!$A$11:$A$58),1, COUNTIF(A$4:$A10, 'Annex 2 Designated EHV charges'!$A$11:$A$58)), 0)),"")</f>
        <v>BRKFLD</v>
      </c>
      <c r="B11" s="97">
        <f>IF($A11="","",VLOOKUP($A11,'Annex 2 Designated EHV charges'!$A:$O,2,0))</f>
        <v>829</v>
      </c>
      <c r="C11" s="98" t="str">
        <f>IF($A11="","",VLOOKUP($A11,'Annex 2 Designated EHV charges'!$A:$O,3,0))</f>
        <v>1200061148060;1200061148079</v>
      </c>
      <c r="D11" s="97" t="str">
        <f>IF($A11="","",VLOOKUP($A11,'Annex 2 Designated EHV charges'!$A:$O,7,0))</f>
        <v>BRKFLD</v>
      </c>
      <c r="E11" s="101">
        <f>IFERROR(IF(VLOOKUP($A11,'Annex 2 Designated EHV charges'!$A:$P,9,FALSE)=0,"",VLOOKUP($A11,'Annex 2 Designated EHV charges'!$A:$P,9,FALSE)),"")</f>
        <v>0.22</v>
      </c>
      <c r="F11" s="207">
        <f>IFERROR(IF(VLOOKUP($A11,'Annex 2 Designated EHV charges'!$A:$P,10,FALSE)=0,"",VLOOKUP($A11,'Annex 2 Designated EHV charges'!$A:$P,10,FALSE)),"")</f>
        <v>11254.69</v>
      </c>
      <c r="G11" s="102">
        <f>IFERROR(IF(VLOOKUP($A11,'Annex 2 Designated EHV charges'!$A:$P,11,FALSE)=0,"",VLOOKUP($A11,'Annex 2 Designated EHV charges'!$A:$P,11,FALSE)),"")</f>
        <v>2.62</v>
      </c>
      <c r="H11" s="102">
        <f>IFERROR(IF(VLOOKUP($A11,'Annex 2 Designated EHV charges'!$A:$P,12,FALSE)=0,"",VLOOKUP($A11,'Annex 2 Designated EHV charges'!$A:$P,12,FALSE)),"")</f>
        <v>2.62</v>
      </c>
    </row>
    <row r="12" spans="1:14" x14ac:dyDescent="0.2">
      <c r="A12" s="97" t="str">
        <f t="array" ref="A12">IFERROR(INDEX('Annex 2 Designated EHV charges'!$A$11:$A$58, MATCH(0, IF(ISBLANK('Annex 2 Designated EHV charges'!$A$11:$A$58),1, COUNTIF(A$4:$A11, 'Annex 2 Designated EHV charges'!$A$11:$A$58)), 0)),"")</f>
        <v>BRMLEY</v>
      </c>
      <c r="B12" s="97">
        <f>IF($A12="","",VLOOKUP($A12,'Annex 2 Designated EHV charges'!$A:$O,2,0))</f>
        <v>0</v>
      </c>
      <c r="C12" s="98" t="str">
        <f>IF($A12="","",VLOOKUP($A12,'Annex 2 Designated EHV charges'!$A:$O,3,0))</f>
        <v>MSID: 1630</v>
      </c>
      <c r="D12" s="97" t="str">
        <f>IF($A12="","",VLOOKUP($A12,'Annex 2 Designated EHV charges'!$A:$O,7,0))</f>
        <v>BRMLEY</v>
      </c>
      <c r="E12" s="101">
        <f>IFERROR(IF(VLOOKUP($A12,'Annex 2 Designated EHV charges'!$A:$P,9,FALSE)=0,"",VLOOKUP($A12,'Annex 2 Designated EHV charges'!$A:$P,9,FALSE)),"")</f>
        <v>0.21199999999999999</v>
      </c>
      <c r="F12" s="207">
        <f>IFERROR(IF(VLOOKUP($A12,'Annex 2 Designated EHV charges'!$A:$P,10,FALSE)=0,"",VLOOKUP($A12,'Annex 2 Designated EHV charges'!$A:$P,10,FALSE)),"")</f>
        <v>68626.320000000007</v>
      </c>
      <c r="G12" s="102">
        <f>IFERROR(IF(VLOOKUP($A12,'Annex 2 Designated EHV charges'!$A:$P,11,FALSE)=0,"",VLOOKUP($A12,'Annex 2 Designated EHV charges'!$A:$P,11,FALSE)),"")</f>
        <v>5.0999999999999996</v>
      </c>
      <c r="H12" s="102">
        <f>IFERROR(IF(VLOOKUP($A12,'Annex 2 Designated EHV charges'!$A:$P,12,FALSE)=0,"",VLOOKUP($A12,'Annex 2 Designated EHV charges'!$A:$P,12,FALSE)),"")</f>
        <v>5.0999999999999996</v>
      </c>
    </row>
    <row r="13" spans="1:14" ht="25.5" x14ac:dyDescent="0.2">
      <c r="A13" s="97" t="str">
        <f t="array" ref="A13">IFERROR(INDEX('Annex 2 Designated EHV charges'!$A$11:$A$58, MATCH(0, IF(ISBLANK('Annex 2 Designated EHV charges'!$A$11:$A$58),1, COUNTIF(A$4:$A12, 'Annex 2 Designated EHV charges'!$A$11:$A$58)), 0)),"")</f>
        <v>CRLIMM</v>
      </c>
      <c r="B13" s="97">
        <f>IF($A13="","",VLOOKUP($A13,'Annex 2 Designated EHV charges'!$A:$O,2,0))</f>
        <v>812</v>
      </c>
      <c r="C13" s="98" t="str">
        <f>IF($A13="","",VLOOKUP($A13,'Annex 2 Designated EHV charges'!$A:$O,3,0))</f>
        <v>1200062090483;1200062090492</v>
      </c>
      <c r="D13" s="97" t="str">
        <f>IF($A13="","",VLOOKUP($A13,'Annex 2 Designated EHV charges'!$A:$O,7,0))</f>
        <v>CRLIMM</v>
      </c>
      <c r="E13" s="101">
        <f>IFERROR(IF(VLOOKUP($A13,'Annex 2 Designated EHV charges'!$A:$P,9,FALSE)=0,"",VLOOKUP($A13,'Annex 2 Designated EHV charges'!$A:$P,9,FALSE)),"")</f>
        <v>3.0000000000000001E-3</v>
      </c>
      <c r="F13" s="207">
        <f>IFERROR(IF(VLOOKUP($A13,'Annex 2 Designated EHV charges'!$A:$P,10,FALSE)=0,"",VLOOKUP($A13,'Annex 2 Designated EHV charges'!$A:$P,10,FALSE)),"")</f>
        <v>82036.160000000003</v>
      </c>
      <c r="G13" s="102">
        <f>IFERROR(IF(VLOOKUP($A13,'Annex 2 Designated EHV charges'!$A:$P,11,FALSE)=0,"",VLOOKUP($A13,'Annex 2 Designated EHV charges'!$A:$P,11,FALSE)),"")</f>
        <v>1.5</v>
      </c>
      <c r="H13" s="102">
        <f>IFERROR(IF(VLOOKUP($A13,'Annex 2 Designated EHV charges'!$A:$P,12,FALSE)=0,"",VLOOKUP($A13,'Annex 2 Designated EHV charges'!$A:$P,12,FALSE)),"")</f>
        <v>1.5</v>
      </c>
    </row>
    <row r="14" spans="1:14" x14ac:dyDescent="0.2">
      <c r="A14" s="97" t="str">
        <f t="array" ref="A14">IFERROR(INDEX('Annex 2 Designated EHV charges'!$A$11:$A$58, MATCH(0, IF(ISBLANK('Annex 2 Designated EHV charges'!$A$11:$A$58),1, COUNTIF(A$4:$A13, 'Annex 2 Designated EHV charges'!$A$11:$A$58)), 0)),"")</f>
        <v>DART11</v>
      </c>
      <c r="B14" s="97">
        <f>IF($A14="","",VLOOKUP($A14,'Annex 2 Designated EHV charges'!$A:$O,2,0))</f>
        <v>0</v>
      </c>
      <c r="C14" s="98" t="str">
        <f>IF($A14="","",VLOOKUP($A14,'Annex 2 Designated EHV charges'!$A:$O,3,0))</f>
        <v>MSID: 1032</v>
      </c>
      <c r="D14" s="97" t="str">
        <f>IF($A14="","",VLOOKUP($A14,'Annex 2 Designated EHV charges'!$A:$O,7,0))</f>
        <v>DART11</v>
      </c>
      <c r="E14" s="101">
        <f>IFERROR(IF(VLOOKUP($A14,'Annex 2 Designated EHV charges'!$A:$P,9,FALSE)=0,"",VLOOKUP($A14,'Annex 2 Designated EHV charges'!$A:$P,9,FALSE)),"")</f>
        <v>0.28499999999999998</v>
      </c>
      <c r="F14" s="207">
        <f>IFERROR(IF(VLOOKUP($A14,'Annex 2 Designated EHV charges'!$A:$P,10,FALSE)=0,"",VLOOKUP($A14,'Annex 2 Designated EHV charges'!$A:$P,10,FALSE)),"")</f>
        <v>10677.01</v>
      </c>
      <c r="G14" s="102">
        <f>IFERROR(IF(VLOOKUP($A14,'Annex 2 Designated EHV charges'!$A:$P,11,FALSE)=0,"",VLOOKUP($A14,'Annex 2 Designated EHV charges'!$A:$P,11,FALSE)),"")</f>
        <v>6.51</v>
      </c>
      <c r="H14" s="102">
        <f>IFERROR(IF(VLOOKUP($A14,'Annex 2 Designated EHV charges'!$A:$P,12,FALSE)=0,"",VLOOKUP($A14,'Annex 2 Designated EHV charges'!$A:$P,12,FALSE)),"")</f>
        <v>6.51</v>
      </c>
    </row>
    <row r="15" spans="1:14" x14ac:dyDescent="0.2">
      <c r="A15" s="97" t="str">
        <f t="array" ref="A15">IFERROR(INDEX('Annex 2 Designated EHV charges'!$A$11:$A$58, MATCH(0, IF(ISBLANK('Annex 2 Designated EHV charges'!$A$11:$A$58),1, COUNTIF(A$4:$A14, 'Annex 2 Designated EHV charges'!$A$11:$A$58)), 0)),"")</f>
        <v>DART33</v>
      </c>
      <c r="B15" s="97">
        <f>IF($A15="","",VLOOKUP($A15,'Annex 2 Designated EHV charges'!$A:$O,2,0))</f>
        <v>0</v>
      </c>
      <c r="C15" s="98" t="str">
        <f>IF($A15="","",VLOOKUP($A15,'Annex 2 Designated EHV charges'!$A:$O,3,0))</f>
        <v>MSID: 1032</v>
      </c>
      <c r="D15" s="97" t="str">
        <f>IF($A15="","",VLOOKUP($A15,'Annex 2 Designated EHV charges'!$A:$O,7,0))</f>
        <v>DART33</v>
      </c>
      <c r="E15" s="101">
        <f>IFERROR(IF(VLOOKUP($A15,'Annex 2 Designated EHV charges'!$A:$P,9,FALSE)=0,"",VLOOKUP($A15,'Annex 2 Designated EHV charges'!$A:$P,9,FALSE)),"")</f>
        <v>0.60299999999999998</v>
      </c>
      <c r="F15" s="207">
        <f>IFERROR(IF(VLOOKUP($A15,'Annex 2 Designated EHV charges'!$A:$P,10,FALSE)=0,"",VLOOKUP($A15,'Annex 2 Designated EHV charges'!$A:$P,10,FALSE)),"")</f>
        <v>28207.13</v>
      </c>
      <c r="G15" s="102">
        <f>IFERROR(IF(VLOOKUP($A15,'Annex 2 Designated EHV charges'!$A:$P,11,FALSE)=0,"",VLOOKUP($A15,'Annex 2 Designated EHV charges'!$A:$P,11,FALSE)),"")</f>
        <v>7.02</v>
      </c>
      <c r="H15" s="102">
        <f>IFERROR(IF(VLOOKUP($A15,'Annex 2 Designated EHV charges'!$A:$P,12,FALSE)=0,"",VLOOKUP($A15,'Annex 2 Designated EHV charges'!$A:$P,12,FALSE)),"")</f>
        <v>7.02</v>
      </c>
    </row>
    <row r="16" spans="1:14" x14ac:dyDescent="0.2">
      <c r="A16" s="97" t="str">
        <f t="array" ref="A16">IFERROR(INDEX('Annex 2 Designated EHV charges'!$A$11:$A$58, MATCH(0, IF(ISBLANK('Annex 2 Designated EHV charges'!$A$11:$A$58),1, COUNTIF(A$4:$A15, 'Annex 2 Designated EHV charges'!$A$11:$A$58)), 0)),"")</f>
        <v>EPNLEI</v>
      </c>
      <c r="B16" s="97">
        <f>IF($A16="","",VLOOKUP($A16,'Annex 2 Designated EHV charges'!$A:$O,2,0))</f>
        <v>0</v>
      </c>
      <c r="C16" s="98" t="str">
        <f>IF($A16="","",VLOOKUP($A16,'Annex 2 Designated EHV charges'!$A:$O,3,0))</f>
        <v>MSID: 1628</v>
      </c>
      <c r="D16" s="97" t="str">
        <f>IF($A16="","",VLOOKUP($A16,'Annex 2 Designated EHV charges'!$A:$O,7,0))</f>
        <v>EPNLEI</v>
      </c>
      <c r="E16" s="101">
        <f>IFERROR(IF(VLOOKUP($A16,'Annex 2 Designated EHV charges'!$A:$P,9,FALSE)=0,"",VLOOKUP($A16,'Annex 2 Designated EHV charges'!$A:$P,9,FALSE)),"")</f>
        <v>2.4E-2</v>
      </c>
      <c r="F16" s="207">
        <f>IFERROR(IF(VLOOKUP($A16,'Annex 2 Designated EHV charges'!$A:$P,10,FALSE)=0,"",VLOOKUP($A16,'Annex 2 Designated EHV charges'!$A:$P,10,FALSE)),"")</f>
        <v>68626.320000000007</v>
      </c>
      <c r="G16" s="102">
        <f>IFERROR(IF(VLOOKUP($A16,'Annex 2 Designated EHV charges'!$A:$P,11,FALSE)=0,"",VLOOKUP($A16,'Annex 2 Designated EHV charges'!$A:$P,11,FALSE)),"")</f>
        <v>5.2</v>
      </c>
      <c r="H16" s="102">
        <f>IFERROR(IF(VLOOKUP($A16,'Annex 2 Designated EHV charges'!$A:$P,12,FALSE)=0,"",VLOOKUP($A16,'Annex 2 Designated EHV charges'!$A:$P,12,FALSE)),"")</f>
        <v>5.2</v>
      </c>
    </row>
    <row r="17" spans="1:8" ht="25.5" x14ac:dyDescent="0.2">
      <c r="A17" s="97" t="str">
        <f t="array" ref="A17">IFERROR(INDEX('Annex 2 Designated EHV charges'!$A$11:$A$58, MATCH(0, IF(ISBLANK('Annex 2 Designated EHV charges'!$A$11:$A$58),1, COUNTIF(A$4:$A16, 'Annex 2 Designated EHV charges'!$A$11:$A$58)), 0)),"")</f>
        <v>FENAVE</v>
      </c>
      <c r="B17" s="97">
        <f>IF($A17="","",VLOOKUP($A17,'Annex 2 Designated EHV charges'!$A:$O,2,0))</f>
        <v>813</v>
      </c>
      <c r="C17" s="98" t="str">
        <f>IF($A17="","",VLOOKUP($A17,'Annex 2 Designated EHV charges'!$A:$O,3,0))</f>
        <v>1200062132159;1200062132168</v>
      </c>
      <c r="D17" s="97" t="str">
        <f>IF($A17="","",VLOOKUP($A17,'Annex 2 Designated EHV charges'!$A:$O,7,0))</f>
        <v>FENAVE</v>
      </c>
      <c r="E17" s="101">
        <f>IFERROR(IF(VLOOKUP($A17,'Annex 2 Designated EHV charges'!$A:$P,9,FALSE)=0,"",VLOOKUP($A17,'Annex 2 Designated EHV charges'!$A:$P,9,FALSE)),"")</f>
        <v>0.20499999999999999</v>
      </c>
      <c r="F17" s="207">
        <f>IFERROR(IF(VLOOKUP($A17,'Annex 2 Designated EHV charges'!$A:$P,10,FALSE)=0,"",VLOOKUP($A17,'Annex 2 Designated EHV charges'!$A:$P,10,FALSE)),"")</f>
        <v>11254.69</v>
      </c>
      <c r="G17" s="102">
        <f>IFERROR(IF(VLOOKUP($A17,'Annex 2 Designated EHV charges'!$A:$P,11,FALSE)=0,"",VLOOKUP($A17,'Annex 2 Designated EHV charges'!$A:$P,11,FALSE)),"")</f>
        <v>2.13</v>
      </c>
      <c r="H17" s="102">
        <f>IFERROR(IF(VLOOKUP($A17,'Annex 2 Designated EHV charges'!$A:$P,12,FALSE)=0,"",VLOOKUP($A17,'Annex 2 Designated EHV charges'!$A:$P,12,FALSE)),"")</f>
        <v>2.13</v>
      </c>
    </row>
    <row r="18" spans="1:8" ht="25.5" x14ac:dyDescent="0.2">
      <c r="A18" s="97" t="str">
        <f t="array" ref="A18">IFERROR(INDEX('Annex 2 Designated EHV charges'!$A$11:$A$58, MATCH(0, IF(ISBLANK('Annex 2 Designated EHV charges'!$A$11:$A$58),1, COUNTIF(A$4:$A17, 'Annex 2 Designated EHV charges'!$A$11:$A$58)), 0)),"")</f>
        <v>FENCHS</v>
      </c>
      <c r="B18" s="97">
        <f>IF($A18="","",VLOOKUP($A18,'Annex 2 Designated EHV charges'!$A:$O,2,0))</f>
        <v>800</v>
      </c>
      <c r="C18" s="98" t="str">
        <f>IF($A18="","",VLOOKUP($A18,'Annex 2 Designated EHV charges'!$A:$O,3,0))</f>
        <v>1200061144029;1200061144038</v>
      </c>
      <c r="D18" s="97" t="str">
        <f>IF($A18="","",VLOOKUP($A18,'Annex 2 Designated EHV charges'!$A:$O,7,0))</f>
        <v>FENCHS</v>
      </c>
      <c r="E18" s="101">
        <f>IFERROR(IF(VLOOKUP($A18,'Annex 2 Designated EHV charges'!$A:$P,9,FALSE)=0,"",VLOOKUP($A18,'Annex 2 Designated EHV charges'!$A:$P,9,FALSE)),"")</f>
        <v>0.26</v>
      </c>
      <c r="F18" s="207">
        <f>IFERROR(IF(VLOOKUP($A18,'Annex 2 Designated EHV charges'!$A:$P,10,FALSE)=0,"",VLOOKUP($A18,'Annex 2 Designated EHV charges'!$A:$P,10,FALSE)),"")</f>
        <v>11254.69</v>
      </c>
      <c r="G18" s="102">
        <f>IFERROR(IF(VLOOKUP($A18,'Annex 2 Designated EHV charges'!$A:$P,11,FALSE)=0,"",VLOOKUP($A18,'Annex 2 Designated EHV charges'!$A:$P,11,FALSE)),"")</f>
        <v>2.81</v>
      </c>
      <c r="H18" s="102">
        <f>IFERROR(IF(VLOOKUP($A18,'Annex 2 Designated EHV charges'!$A:$P,12,FALSE)=0,"",VLOOKUP($A18,'Annex 2 Designated EHV charges'!$A:$P,12,FALSE)),"")</f>
        <v>2.81</v>
      </c>
    </row>
    <row r="19" spans="1:8" ht="51" x14ac:dyDescent="0.2">
      <c r="A19" s="97" t="str">
        <f t="array" ref="A19">IFERROR(INDEX('Annex 2 Designated EHV charges'!$A$11:$A$58, MATCH(0, IF(ISBLANK('Annex 2 Designated EHV charges'!$A$11:$A$58),1, COUNTIF(A$4:$A18, 'Annex 2 Designated EHV charges'!$A$11:$A$58)), 0)),"")</f>
        <v>GBLSWI</v>
      </c>
      <c r="B19" s="97">
        <f>IF($A19="","",VLOOKUP($A19,'Annex 2 Designated EHV charges'!$A:$O,2,0))</f>
        <v>843</v>
      </c>
      <c r="C19" s="98" t="str">
        <f>IF($A19="","",VLOOKUP($A19,'Annex 2 Designated EHV charges'!$A:$O,3,0))</f>
        <v>1200050913681;1200050913690;1200050913706;1200050913715</v>
      </c>
      <c r="D19" s="97" t="str">
        <f>IF($A19="","",VLOOKUP($A19,'Annex 2 Designated EHV charges'!$A:$O,7,0))</f>
        <v>GBLSWI</v>
      </c>
      <c r="E19" s="101">
        <f>IFERROR(IF(VLOOKUP($A19,'Annex 2 Designated EHV charges'!$A:$P,9,FALSE)=0,"",VLOOKUP($A19,'Annex 2 Designated EHV charges'!$A:$P,9,FALSE)),"")</f>
        <v>3.0000000000000001E-3</v>
      </c>
      <c r="F19" s="207">
        <f>IFERROR(IF(VLOOKUP($A19,'Annex 2 Designated EHV charges'!$A:$P,10,FALSE)=0,"",VLOOKUP($A19,'Annex 2 Designated EHV charges'!$A:$P,10,FALSE)),"")</f>
        <v>80311.31</v>
      </c>
      <c r="G19" s="102">
        <f>IFERROR(IF(VLOOKUP($A19,'Annex 2 Designated EHV charges'!$A:$P,11,FALSE)=0,"",VLOOKUP($A19,'Annex 2 Designated EHV charges'!$A:$P,11,FALSE)),"")</f>
        <v>2.44</v>
      </c>
      <c r="H19" s="102">
        <f>IFERROR(IF(VLOOKUP($A19,'Annex 2 Designated EHV charges'!$A:$P,12,FALSE)=0,"",VLOOKUP($A19,'Annex 2 Designated EHV charges'!$A:$P,12,FALSE)),"")</f>
        <v>2.44</v>
      </c>
    </row>
    <row r="20" spans="1:8" x14ac:dyDescent="0.2">
      <c r="A20" s="97" t="str">
        <f t="array" ref="A20">IFERROR(INDEX('Annex 2 Designated EHV charges'!$A$11:$A$58, MATCH(0, IF(ISBLANK('Annex 2 Designated EHV charges'!$A$11:$A$58),1, COUNTIF(A$4:$A19, 'Annex 2 Designated EHV charges'!$A$11:$A$58)), 0)),"")</f>
        <v>KNGLPN</v>
      </c>
      <c r="B20" s="97">
        <f>IF($A20="","",VLOOKUP($A20,'Annex 2 Designated EHV charges'!$A:$O,2,0))</f>
        <v>0</v>
      </c>
      <c r="C20" s="98" t="str">
        <f>IF($A20="","",VLOOKUP($A20,'Annex 2 Designated EHV charges'!$A:$O,3,0))</f>
        <v>MSID: 1027</v>
      </c>
      <c r="D20" s="97" t="str">
        <f>IF($A20="","",VLOOKUP($A20,'Annex 2 Designated EHV charges'!$A:$O,7,0))</f>
        <v>KNGLPN</v>
      </c>
      <c r="E20" s="101" t="str">
        <f>IFERROR(IF(VLOOKUP($A20,'Annex 2 Designated EHV charges'!$A:$P,9,FALSE)=0,"",VLOOKUP($A20,'Annex 2 Designated EHV charges'!$A:$P,9,FALSE)),"")</f>
        <v/>
      </c>
      <c r="F20" s="207">
        <f>IFERROR(IF(VLOOKUP($A20,'Annex 2 Designated EHV charges'!$A:$P,10,FALSE)=0,"",VLOOKUP($A20,'Annex 2 Designated EHV charges'!$A:$P,10,FALSE)),"")</f>
        <v>10677.01</v>
      </c>
      <c r="G20" s="102">
        <f>IFERROR(IF(VLOOKUP($A20,'Annex 2 Designated EHV charges'!$A:$P,11,FALSE)=0,"",VLOOKUP($A20,'Annex 2 Designated EHV charges'!$A:$P,11,FALSE)),"")</f>
        <v>4.92</v>
      </c>
      <c r="H20" s="102">
        <f>IFERROR(IF(VLOOKUP($A20,'Annex 2 Designated EHV charges'!$A:$P,12,FALSE)=0,"",VLOOKUP($A20,'Annex 2 Designated EHV charges'!$A:$P,12,FALSE)),"")</f>
        <v>4.92</v>
      </c>
    </row>
    <row r="21" spans="1:8" ht="25.5" x14ac:dyDescent="0.2">
      <c r="A21" s="97" t="str">
        <f t="array" ref="A21">IFERROR(INDEX('Annex 2 Designated EHV charges'!$A$11:$A$58, MATCH(0, IF(ISBLANK('Annex 2 Designated EHV charges'!$A$11:$A$58),1, COUNTIF(A$4:$A20, 'Annex 2 Designated EHV charges'!$A$11:$A$58)), 0)),"")</f>
        <v>LEDNHS</v>
      </c>
      <c r="B21" s="97">
        <f>IF($A21="","",VLOOKUP($A21,'Annex 2 Designated EHV charges'!$A:$O,2,0))</f>
        <v>808</v>
      </c>
      <c r="C21" s="98" t="str">
        <f>IF($A21="","",VLOOKUP($A21,'Annex 2 Designated EHV charges'!$A:$O,3,0))</f>
        <v>1200061144065;1200061144074</v>
      </c>
      <c r="D21" s="97" t="str">
        <f>IF($A21="","",VLOOKUP($A21,'Annex 2 Designated EHV charges'!$A:$O,7,0))</f>
        <v>LEDNHS</v>
      </c>
      <c r="E21" s="101">
        <f>IFERROR(IF(VLOOKUP($A21,'Annex 2 Designated EHV charges'!$A:$P,9,FALSE)=0,"",VLOOKUP($A21,'Annex 2 Designated EHV charges'!$A:$P,9,FALSE)),"")</f>
        <v>0.2</v>
      </c>
      <c r="F21" s="207">
        <f>IFERROR(IF(VLOOKUP($A21,'Annex 2 Designated EHV charges'!$A:$P,10,FALSE)=0,"",VLOOKUP($A21,'Annex 2 Designated EHV charges'!$A:$P,10,FALSE)),"")</f>
        <v>11254.69</v>
      </c>
      <c r="G21" s="102">
        <f>IFERROR(IF(VLOOKUP($A21,'Annex 2 Designated EHV charges'!$A:$P,11,FALSE)=0,"",VLOOKUP($A21,'Annex 2 Designated EHV charges'!$A:$P,11,FALSE)),"")</f>
        <v>2.65</v>
      </c>
      <c r="H21" s="102">
        <f>IFERROR(IF(VLOOKUP($A21,'Annex 2 Designated EHV charges'!$A:$P,12,FALSE)=0,"",VLOOKUP($A21,'Annex 2 Designated EHV charges'!$A:$P,12,FALSE)),"")</f>
        <v>2.65</v>
      </c>
    </row>
    <row r="22" spans="1:8" ht="25.5" x14ac:dyDescent="0.2">
      <c r="A22" s="97" t="str">
        <f t="array" ref="A22">IFERROR(INDEX('Annex 2 Designated EHV charges'!$A$11:$A$58, MATCH(0, IF(ISBLANK('Annex 2 Designated EHV charges'!$A$11:$A$58),1, COUNTIF(A$4:$A21, 'Annex 2 Designated EHV charges'!$A$11:$A$58)), 0)),"")</f>
        <v>LIMEST</v>
      </c>
      <c r="B22" s="97">
        <f>IF($A22="","",VLOOKUP($A22,'Annex 2 Designated EHV charges'!$A:$O,2,0))</f>
        <v>814</v>
      </c>
      <c r="C22" s="98" t="str">
        <f>IF($A22="","",VLOOKUP($A22,'Annex 2 Designated EHV charges'!$A:$O,3,0))</f>
        <v>1200062132006;1200062132015</v>
      </c>
      <c r="D22" s="97" t="str">
        <f>IF($A22="","",VLOOKUP($A22,'Annex 2 Designated EHV charges'!$A:$O,7,0))</f>
        <v>LIMEST</v>
      </c>
      <c r="E22" s="101">
        <f>IFERROR(IF(VLOOKUP($A22,'Annex 2 Designated EHV charges'!$A:$P,9,FALSE)=0,"",VLOOKUP($A22,'Annex 2 Designated EHV charges'!$A:$P,9,FALSE)),"")</f>
        <v>0.20899999999999999</v>
      </c>
      <c r="F22" s="207">
        <f>IFERROR(IF(VLOOKUP($A22,'Annex 2 Designated EHV charges'!$A:$P,10,FALSE)=0,"",VLOOKUP($A22,'Annex 2 Designated EHV charges'!$A:$P,10,FALSE)),"")</f>
        <v>11254.69</v>
      </c>
      <c r="G22" s="102">
        <f>IFERROR(IF(VLOOKUP($A22,'Annex 2 Designated EHV charges'!$A:$P,11,FALSE)=0,"",VLOOKUP($A22,'Annex 2 Designated EHV charges'!$A:$P,11,FALSE)),"")</f>
        <v>2.44</v>
      </c>
      <c r="H22" s="102">
        <f>IFERROR(IF(VLOOKUP($A22,'Annex 2 Designated EHV charges'!$A:$P,12,FALSE)=0,"",VLOOKUP($A22,'Annex 2 Designated EHV charges'!$A:$P,12,FALSE)),"")</f>
        <v>2.44</v>
      </c>
    </row>
    <row r="23" spans="1:8" ht="25.5" x14ac:dyDescent="0.2">
      <c r="A23" s="97" t="str">
        <f t="array" ref="A23">IFERROR(INDEX('Annex 2 Designated EHV charges'!$A$11:$A$58, MATCH(0, IF(ISBLANK('Annex 2 Designated EHV charges'!$A$11:$A$58),1, COUNTIF(A$4:$A22, 'Annex 2 Designated EHV charges'!$A$11:$A$58)), 0)),"")</f>
        <v>LNWAL1</v>
      </c>
      <c r="B23" s="97">
        <f>IF($A23="","",VLOOKUP($A23,'Annex 2 Designated EHV charges'!$A:$O,2,0))</f>
        <v>816</v>
      </c>
      <c r="C23" s="98" t="str">
        <f>IF($A23="","",VLOOKUP($A23,'Annex 2 Designated EHV charges'!$A:$O,3,0))</f>
        <v>1200061148194;1200061148200</v>
      </c>
      <c r="D23" s="97" t="str">
        <f>IF($A23="","",VLOOKUP($A23,'Annex 2 Designated EHV charges'!$A:$O,7,0))</f>
        <v>LNWAL1</v>
      </c>
      <c r="E23" s="101">
        <f>IFERROR(IF(VLOOKUP($A23,'Annex 2 Designated EHV charges'!$A:$P,9,FALSE)=0,"",VLOOKUP($A23,'Annex 2 Designated EHV charges'!$A:$P,9,FALSE)),"")</f>
        <v>0.217</v>
      </c>
      <c r="F23" s="207">
        <f>IFERROR(IF(VLOOKUP($A23,'Annex 2 Designated EHV charges'!$A:$P,10,FALSE)=0,"",VLOOKUP($A23,'Annex 2 Designated EHV charges'!$A:$P,10,FALSE)),"")</f>
        <v>1553.35</v>
      </c>
      <c r="G23" s="102">
        <f>IFERROR(IF(VLOOKUP($A23,'Annex 2 Designated EHV charges'!$A:$P,11,FALSE)=0,"",VLOOKUP($A23,'Annex 2 Designated EHV charges'!$A:$P,11,FALSE)),"")</f>
        <v>3.41</v>
      </c>
      <c r="H23" s="102">
        <f>IFERROR(IF(VLOOKUP($A23,'Annex 2 Designated EHV charges'!$A:$P,12,FALSE)=0,"",VLOOKUP($A23,'Annex 2 Designated EHV charges'!$A:$P,12,FALSE)),"")</f>
        <v>3.41</v>
      </c>
    </row>
    <row r="24" spans="1:8" ht="25.5" x14ac:dyDescent="0.2">
      <c r="A24" s="97" t="str">
        <f t="array" ref="A24">IFERROR(INDEX('Annex 2 Designated EHV charges'!$A$11:$A$58, MATCH(0, IF(ISBLANK('Annex 2 Designated EHV charges'!$A$11:$A$58),1, COUNTIF(A$4:$A23, 'Annex 2 Designated EHV charges'!$A$11:$A$58)), 0)),"")</f>
        <v>LNWALL</v>
      </c>
      <c r="B24" s="97">
        <f>IF($A24="","",VLOOKUP($A24,'Annex 2 Designated EHV charges'!$A:$O,2,0))</f>
        <v>816</v>
      </c>
      <c r="C24" s="98" t="str">
        <f>IF($A24="","",VLOOKUP($A24,'Annex 2 Designated EHV charges'!$A:$O,3,0))</f>
        <v>1200061953070;1200061953089</v>
      </c>
      <c r="D24" s="97" t="str">
        <f>IF($A24="","",VLOOKUP($A24,'Annex 2 Designated EHV charges'!$A:$O,7,0))</f>
        <v>LNWALL</v>
      </c>
      <c r="E24" s="101">
        <f>IFERROR(IF(VLOOKUP($A24,'Annex 2 Designated EHV charges'!$A:$P,9,FALSE)=0,"",VLOOKUP($A24,'Annex 2 Designated EHV charges'!$A:$P,9,FALSE)),"")</f>
        <v>0.217</v>
      </c>
      <c r="F24" s="207">
        <f>IFERROR(IF(VLOOKUP($A24,'Annex 2 Designated EHV charges'!$A:$P,10,FALSE)=0,"",VLOOKUP($A24,'Annex 2 Designated EHV charges'!$A:$P,10,FALSE)),"")</f>
        <v>11254.69</v>
      </c>
      <c r="G24" s="102">
        <f>IFERROR(IF(VLOOKUP($A24,'Annex 2 Designated EHV charges'!$A:$P,11,FALSE)=0,"",VLOOKUP($A24,'Annex 2 Designated EHV charges'!$A:$P,11,FALSE)),"")</f>
        <v>1.42</v>
      </c>
      <c r="H24" s="102">
        <f>IFERROR(IF(VLOOKUP($A24,'Annex 2 Designated EHV charges'!$A:$P,12,FALSE)=0,"",VLOOKUP($A24,'Annex 2 Designated EHV charges'!$A:$P,12,FALSE)),"")</f>
        <v>1.42</v>
      </c>
    </row>
    <row r="25" spans="1:8" x14ac:dyDescent="0.2">
      <c r="A25" s="97" t="str">
        <f t="array" ref="A25">IFERROR(INDEX('Annex 2 Designated EHV charges'!$A$11:$A$58, MATCH(0, IF(ISBLANK('Annex 2 Designated EHV charges'!$A$11:$A$58),1, COUNTIF(A$4:$A24, 'Annex 2 Designated EHV charges'!$A$11:$A$58)), 0)),"")</f>
        <v>LU_ACT</v>
      </c>
      <c r="B25" s="97">
        <f>IF($A25="","",VLOOKUP($A25,'Annex 2 Designated EHV charges'!$A:$O,2,0))</f>
        <v>0</v>
      </c>
      <c r="C25" s="98" t="str">
        <f>IF($A25="","",VLOOKUP($A25,'Annex 2 Designated EHV charges'!$A:$O,3,0))</f>
        <v>MSID: 1631</v>
      </c>
      <c r="D25" s="97" t="str">
        <f>IF($A25="","",VLOOKUP($A25,'Annex 2 Designated EHV charges'!$A:$O,7,0))</f>
        <v>LU_ACT</v>
      </c>
      <c r="E25" s="101" t="str">
        <f>IFERROR(IF(VLOOKUP($A25,'Annex 2 Designated EHV charges'!$A:$P,9,FALSE)=0,"",VLOOKUP($A25,'Annex 2 Designated EHV charges'!$A:$P,9,FALSE)),"")</f>
        <v/>
      </c>
      <c r="F25" s="207">
        <f>IFERROR(IF(VLOOKUP($A25,'Annex 2 Designated EHV charges'!$A:$P,10,FALSE)=0,"",VLOOKUP($A25,'Annex 2 Designated EHV charges'!$A:$P,10,FALSE)),"")</f>
        <v>28589.8</v>
      </c>
      <c r="G25" s="102">
        <f>IFERROR(IF(VLOOKUP($A25,'Annex 2 Designated EHV charges'!$A:$P,11,FALSE)=0,"",VLOOKUP($A25,'Annex 2 Designated EHV charges'!$A:$P,11,FALSE)),"")</f>
        <v>2.5099999999999998</v>
      </c>
      <c r="H25" s="102">
        <f>IFERROR(IF(VLOOKUP($A25,'Annex 2 Designated EHV charges'!$A:$P,12,FALSE)=0,"",VLOOKUP($A25,'Annex 2 Designated EHV charges'!$A:$P,12,FALSE)),"")</f>
        <v>2.5099999999999998</v>
      </c>
    </row>
    <row r="26" spans="1:8" ht="25.5" x14ac:dyDescent="0.2">
      <c r="A26" s="97" t="str">
        <f t="array" ref="A26">IFERROR(INDEX('Annex 2 Designated EHV charges'!$A$11:$A$58, MATCH(0, IF(ISBLANK('Annex 2 Designated EHV charges'!$A$11:$A$58),1, COUNTIF(A$4:$A25, 'Annex 2 Designated EHV charges'!$A$11:$A$58)), 0)),"")</f>
        <v>LU_CAN</v>
      </c>
      <c r="B26" s="97">
        <f>IF($A26="","",VLOOKUP($A26,'Annex 2 Designated EHV charges'!$A:$O,2,0))</f>
        <v>818</v>
      </c>
      <c r="C26" s="98" t="str">
        <f>IF($A26="","",VLOOKUP($A26,'Annex 2 Designated EHV charges'!$A:$O,3,0))</f>
        <v>1200060323207;1200060323216</v>
      </c>
      <c r="D26" s="97" t="str">
        <f>IF($A26="","",VLOOKUP($A26,'Annex 2 Designated EHV charges'!$A:$O,7,0))</f>
        <v>LU_CAN</v>
      </c>
      <c r="E26" s="101" t="str">
        <f>IFERROR(IF(VLOOKUP($A26,'Annex 2 Designated EHV charges'!$A:$P,9,FALSE)=0,"",VLOOKUP($A26,'Annex 2 Designated EHV charges'!$A:$P,9,FALSE)),"")</f>
        <v/>
      </c>
      <c r="F26" s="207">
        <f>IFERROR(IF(VLOOKUP($A26,'Annex 2 Designated EHV charges'!$A:$P,10,FALSE)=0,"",VLOOKUP($A26,'Annex 2 Designated EHV charges'!$A:$P,10,FALSE)),"")</f>
        <v>79377.14</v>
      </c>
      <c r="G26" s="102">
        <f>IFERROR(IF(VLOOKUP($A26,'Annex 2 Designated EHV charges'!$A:$P,11,FALSE)=0,"",VLOOKUP($A26,'Annex 2 Designated EHV charges'!$A:$P,11,FALSE)),"")</f>
        <v>2.3199999999999998</v>
      </c>
      <c r="H26" s="102">
        <f>IFERROR(IF(VLOOKUP($A26,'Annex 2 Designated EHV charges'!$A:$P,12,FALSE)=0,"",VLOOKUP($A26,'Annex 2 Designated EHV charges'!$A:$P,12,FALSE)),"")</f>
        <v>2.3199999999999998</v>
      </c>
    </row>
    <row r="27" spans="1:8" ht="51" x14ac:dyDescent="0.2">
      <c r="A27" s="97" t="str">
        <f t="array" ref="A27">IFERROR(INDEX('Annex 2 Designated EHV charges'!$A$11:$A$58, MATCH(0, IF(ISBLANK('Annex 2 Designated EHV charges'!$A$11:$A$58),1, COUNTIF(A$4:$A26, 'Annex 2 Designated EHV charges'!$A$11:$A$58)), 0)),"")</f>
        <v>LU_CHA</v>
      </c>
      <c r="B27" s="97">
        <f>IF($A27="","",VLOOKUP($A27,'Annex 2 Designated EHV charges'!$A:$O,2,0))</f>
        <v>801</v>
      </c>
      <c r="C27" s="98" t="str">
        <f>IF($A27="","",VLOOKUP($A27,'Annex 2 Designated EHV charges'!$A:$O,3,0))</f>
        <v>1200061231921;1200061231930;1200061231940;1200061231959</v>
      </c>
      <c r="D27" s="97" t="str">
        <f>IF($A27="","",VLOOKUP($A27,'Annex 2 Designated EHV charges'!$A:$O,7,0))</f>
        <v>LU_CHA</v>
      </c>
      <c r="E27" s="101" t="str">
        <f>IFERROR(IF(VLOOKUP($A27,'Annex 2 Designated EHV charges'!$A:$P,9,FALSE)=0,"",VLOOKUP($A27,'Annex 2 Designated EHV charges'!$A:$P,9,FALSE)),"")</f>
        <v/>
      </c>
      <c r="F27" s="207">
        <f>IFERROR(IF(VLOOKUP($A27,'Annex 2 Designated EHV charges'!$A:$P,10,FALSE)=0,"",VLOOKUP($A27,'Annex 2 Designated EHV charges'!$A:$P,10,FALSE)),"")</f>
        <v>79971.42</v>
      </c>
      <c r="G27" s="102">
        <f>IFERROR(IF(VLOOKUP($A27,'Annex 2 Designated EHV charges'!$A:$P,11,FALSE)=0,"",VLOOKUP($A27,'Annex 2 Designated EHV charges'!$A:$P,11,FALSE)),"")</f>
        <v>1.74</v>
      </c>
      <c r="H27" s="102">
        <f>IFERROR(IF(VLOOKUP($A27,'Annex 2 Designated EHV charges'!$A:$P,12,FALSE)=0,"",VLOOKUP($A27,'Annex 2 Designated EHV charges'!$A:$P,12,FALSE)),"")</f>
        <v>1.74</v>
      </c>
    </row>
    <row r="28" spans="1:8" x14ac:dyDescent="0.2">
      <c r="A28" s="97" t="str">
        <f t="array" ref="A28">IFERROR(INDEX('Annex 2 Designated EHV charges'!$A$11:$A$58, MATCH(0, IF(ISBLANK('Annex 2 Designated EHV charges'!$A$11:$A$58),1, COUNTIF(A$4:$A27, 'Annex 2 Designated EHV charges'!$A$11:$A$58)), 0)),"")</f>
        <v>LU_HOX</v>
      </c>
      <c r="B28" s="97">
        <f>IF($A28="","",VLOOKUP($A28,'Annex 2 Designated EHV charges'!$A:$O,2,0))</f>
        <v>804</v>
      </c>
      <c r="C28" s="98">
        <f>IF($A28="","",VLOOKUP($A28,'Annex 2 Designated EHV charges'!$A:$O,3,0))</f>
        <v>1200060323191</v>
      </c>
      <c r="D28" s="97" t="str">
        <f>IF($A28="","",VLOOKUP($A28,'Annex 2 Designated EHV charges'!$A:$O,7,0))</f>
        <v>LU_HOX</v>
      </c>
      <c r="E28" s="101" t="str">
        <f>IFERROR(IF(VLOOKUP($A28,'Annex 2 Designated EHV charges'!$A:$P,9,FALSE)=0,"",VLOOKUP($A28,'Annex 2 Designated EHV charges'!$A:$P,9,FALSE)),"")</f>
        <v/>
      </c>
      <c r="F28" s="207">
        <f>IFERROR(IF(VLOOKUP($A28,'Annex 2 Designated EHV charges'!$A:$P,10,FALSE)=0,"",VLOOKUP($A28,'Annex 2 Designated EHV charges'!$A:$P,10,FALSE)),"")</f>
        <v>77804.460000000006</v>
      </c>
      <c r="G28" s="102">
        <f>IFERROR(IF(VLOOKUP($A28,'Annex 2 Designated EHV charges'!$A:$P,11,FALSE)=0,"",VLOOKUP($A28,'Annex 2 Designated EHV charges'!$A:$P,11,FALSE)),"")</f>
        <v>0.68</v>
      </c>
      <c r="H28" s="102">
        <f>IFERROR(IF(VLOOKUP($A28,'Annex 2 Designated EHV charges'!$A:$P,12,FALSE)=0,"",VLOOKUP($A28,'Annex 2 Designated EHV charges'!$A:$P,12,FALSE)),"")</f>
        <v>0.68</v>
      </c>
    </row>
    <row r="29" spans="1:8" ht="25.5" x14ac:dyDescent="0.2">
      <c r="A29" s="97" t="str">
        <f t="array" ref="A29">IFERROR(INDEX('Annex 2 Designated EHV charges'!$A$11:$A$58, MATCH(0, IF(ISBLANK('Annex 2 Designated EHV charges'!$A$11:$A$58),1, COUNTIF(A$4:$A28, 'Annex 2 Designated EHV charges'!$A$11:$A$58)), 0)),"")</f>
        <v>LU_LOT</v>
      </c>
      <c r="B29" s="97">
        <f>IF($A29="","",VLOOKUP($A29,'Annex 2 Designated EHV charges'!$A:$O,2,0))</f>
        <v>838</v>
      </c>
      <c r="C29" s="98" t="str">
        <f>IF($A29="","",VLOOKUP($A29,'Annex 2 Designated EHV charges'!$A:$O,3,0))</f>
        <v>1200050376902;1200050376911</v>
      </c>
      <c r="D29" s="97" t="str">
        <f>IF($A29="","",VLOOKUP($A29,'Annex 2 Designated EHV charges'!$A:$O,7,0))</f>
        <v>LU_LOT</v>
      </c>
      <c r="E29" s="101">
        <f>IFERROR(IF(VLOOKUP($A29,'Annex 2 Designated EHV charges'!$A:$P,9,FALSE)=0,"",VLOOKUP($A29,'Annex 2 Designated EHV charges'!$A:$P,9,FALSE)),"")</f>
        <v>1E-3</v>
      </c>
      <c r="F29" s="207">
        <f>IFERROR(IF(VLOOKUP($A29,'Annex 2 Designated EHV charges'!$A:$P,10,FALSE)=0,"",VLOOKUP($A29,'Annex 2 Designated EHV charges'!$A:$P,10,FALSE)),"")</f>
        <v>111285.72</v>
      </c>
      <c r="G29" s="102">
        <f>IFERROR(IF(VLOOKUP($A29,'Annex 2 Designated EHV charges'!$A:$P,11,FALSE)=0,"",VLOOKUP($A29,'Annex 2 Designated EHV charges'!$A:$P,11,FALSE)),"")</f>
        <v>2.81</v>
      </c>
      <c r="H29" s="102">
        <f>IFERROR(IF(VLOOKUP($A29,'Annex 2 Designated EHV charges'!$A:$P,12,FALSE)=0,"",VLOOKUP($A29,'Annex 2 Designated EHV charges'!$A:$P,12,FALSE)),"")</f>
        <v>2.81</v>
      </c>
    </row>
    <row r="30" spans="1:8" x14ac:dyDescent="0.2">
      <c r="A30" s="97" t="str">
        <f t="array" ref="A30">IFERROR(INDEX('Annex 2 Designated EHV charges'!$A$11:$A$58, MATCH(0, IF(ISBLANK('Annex 2 Designated EHV charges'!$A$11:$A$58),1, COUNTIF(A$4:$A29, 'Annex 2 Designated EHV charges'!$A$11:$A$58)), 0)),"")</f>
        <v>LU_MAN</v>
      </c>
      <c r="B30" s="97">
        <f>IF($A30="","",VLOOKUP($A30,'Annex 2 Designated EHV charges'!$A:$O,2,0))</f>
        <v>837</v>
      </c>
      <c r="C30" s="98">
        <f>IF($A30="","",VLOOKUP($A30,'Annex 2 Designated EHV charges'!$A:$O,3,0))</f>
        <v>1200010200926</v>
      </c>
      <c r="D30" s="97" t="str">
        <f>IF($A30="","",VLOOKUP($A30,'Annex 2 Designated EHV charges'!$A:$O,7,0))</f>
        <v>LU_MAN</v>
      </c>
      <c r="E30" s="101">
        <f>IFERROR(IF(VLOOKUP($A30,'Annex 2 Designated EHV charges'!$A:$P,9,FALSE)=0,"",VLOOKUP($A30,'Annex 2 Designated EHV charges'!$A:$P,9,FALSE)),"")</f>
        <v>2E-3</v>
      </c>
      <c r="F30" s="207">
        <f>IFERROR(IF(VLOOKUP($A30,'Annex 2 Designated EHV charges'!$A:$P,10,FALSE)=0,"",VLOOKUP($A30,'Annex 2 Designated EHV charges'!$A:$P,10,FALSE)),"")</f>
        <v>98926.85</v>
      </c>
      <c r="G30" s="102">
        <f>IFERROR(IF(VLOOKUP($A30,'Annex 2 Designated EHV charges'!$A:$P,11,FALSE)=0,"",VLOOKUP($A30,'Annex 2 Designated EHV charges'!$A:$P,11,FALSE)),"")</f>
        <v>2.34</v>
      </c>
      <c r="H30" s="102">
        <f>IFERROR(IF(VLOOKUP($A30,'Annex 2 Designated EHV charges'!$A:$P,12,FALSE)=0,"",VLOOKUP($A30,'Annex 2 Designated EHV charges'!$A:$P,12,FALSE)),"")</f>
        <v>2.34</v>
      </c>
    </row>
    <row r="31" spans="1:8" ht="25.5" x14ac:dyDescent="0.2">
      <c r="A31" s="97" t="str">
        <f t="array" ref="A31">IFERROR(INDEX('Annex 2 Designated EHV charges'!$A$11:$A$58, MATCH(0, IF(ISBLANK('Annex 2 Designated EHV charges'!$A$11:$A$58),1, COUNTIF(A$4:$A30, 'Annex 2 Designated EHV charges'!$A$11:$A$58)), 0)),"")</f>
        <v>LU_STE</v>
      </c>
      <c r="B31" s="97">
        <f>IF($A31="","",VLOOKUP($A31,'Annex 2 Designated EHV charges'!$A:$O,2,0))</f>
        <v>839</v>
      </c>
      <c r="C31" s="98" t="str">
        <f>IF($A31="","",VLOOKUP($A31,'Annex 2 Designated EHV charges'!$A:$O,3,0))</f>
        <v>1200010157225;1200010157234</v>
      </c>
      <c r="D31" s="97" t="str">
        <f>IF($A31="","",VLOOKUP($A31,'Annex 2 Designated EHV charges'!$A:$O,7,0))</f>
        <v>LU_STE</v>
      </c>
      <c r="E31" s="101" t="str">
        <f>IFERROR(IF(VLOOKUP($A31,'Annex 2 Designated EHV charges'!$A:$P,9,FALSE)=0,"",VLOOKUP($A31,'Annex 2 Designated EHV charges'!$A:$P,9,FALSE)),"")</f>
        <v/>
      </c>
      <c r="F31" s="207">
        <f>IFERROR(IF(VLOOKUP($A31,'Annex 2 Designated EHV charges'!$A:$P,10,FALSE)=0,"",VLOOKUP($A31,'Annex 2 Designated EHV charges'!$A:$P,10,FALSE)),"")</f>
        <v>78217.279999999999</v>
      </c>
      <c r="G31" s="102">
        <f>IFERROR(IF(VLOOKUP($A31,'Annex 2 Designated EHV charges'!$A:$P,11,FALSE)=0,"",VLOOKUP($A31,'Annex 2 Designated EHV charges'!$A:$P,11,FALSE)),"")</f>
        <v>3.81</v>
      </c>
      <c r="H31" s="102">
        <f>IFERROR(IF(VLOOKUP($A31,'Annex 2 Designated EHV charges'!$A:$P,12,FALSE)=0,"",VLOOKUP($A31,'Annex 2 Designated EHV charges'!$A:$P,12,FALSE)),"")</f>
        <v>3.81</v>
      </c>
    </row>
    <row r="32" spans="1:8" ht="25.5" x14ac:dyDescent="0.2">
      <c r="A32" s="97" t="str">
        <f t="array" ref="A32">IFERROR(INDEX('Annex 2 Designated EHV charges'!$A$11:$A$58, MATCH(0, IF(ISBLANK('Annex 2 Designated EHV charges'!$A$11:$A$58),1, COUNTIF(A$4:$A31, 'Annex 2 Designated EHV charges'!$A$11:$A$58)), 0)),"")</f>
        <v>MRKLNE</v>
      </c>
      <c r="B32" s="97">
        <f>IF($A32="","",VLOOKUP($A32,'Annex 2 Designated EHV charges'!$A:$O,2,0))</f>
        <v>806</v>
      </c>
      <c r="C32" s="98" t="str">
        <f>IF($A32="","",VLOOKUP($A32,'Annex 2 Designated EHV charges'!$A:$O,3,0))</f>
        <v>1200061378624;1200061378633</v>
      </c>
      <c r="D32" s="97" t="str">
        <f>IF($A32="","",VLOOKUP($A32,'Annex 2 Designated EHV charges'!$A:$O,7,0))</f>
        <v>MRKLNE</v>
      </c>
      <c r="E32" s="101">
        <f>IFERROR(IF(VLOOKUP($A32,'Annex 2 Designated EHV charges'!$A:$P,9,FALSE)=0,"",VLOOKUP($A32,'Annex 2 Designated EHV charges'!$A:$P,9,FALSE)),"")</f>
        <v>0.23699999999999999</v>
      </c>
      <c r="F32" s="207">
        <f>IFERROR(IF(VLOOKUP($A32,'Annex 2 Designated EHV charges'!$A:$P,10,FALSE)=0,"",VLOOKUP($A32,'Annex 2 Designated EHV charges'!$A:$P,10,FALSE)),"")</f>
        <v>1553.35</v>
      </c>
      <c r="G32" s="102">
        <f>IFERROR(IF(VLOOKUP($A32,'Annex 2 Designated EHV charges'!$A:$P,11,FALSE)=0,"",VLOOKUP($A32,'Annex 2 Designated EHV charges'!$A:$P,11,FALSE)),"")</f>
        <v>2.19</v>
      </c>
      <c r="H32" s="102">
        <f>IFERROR(IF(VLOOKUP($A32,'Annex 2 Designated EHV charges'!$A:$P,12,FALSE)=0,"",VLOOKUP($A32,'Annex 2 Designated EHV charges'!$A:$P,12,FALSE)),"")</f>
        <v>2.19</v>
      </c>
    </row>
    <row r="33" spans="1:8" ht="25.5" x14ac:dyDescent="0.2">
      <c r="A33" s="97" t="str">
        <f t="array" ref="A33">IFERROR(INDEX('Annex 2 Designated EHV charges'!$A$11:$A$58, MATCH(0, IF(ISBLANK('Annex 2 Designated EHV charges'!$A$11:$A$58),1, COUNTIF(A$4:$A32, 'Annex 2 Designated EHV charges'!$A$11:$A$58)), 0)),"")</f>
        <v>NGC_BA</v>
      </c>
      <c r="B33" s="97">
        <f>IF($A33="","",VLOOKUP($A33,'Annex 2 Designated EHV charges'!$A:$O,2,0))</f>
        <v>817</v>
      </c>
      <c r="C33" s="98" t="str">
        <f>IF($A33="","",VLOOKUP($A33,'Annex 2 Designated EHV charges'!$A:$O,3,0))</f>
        <v>1200010151863;1200010151872</v>
      </c>
      <c r="D33" s="97" t="str">
        <f>IF($A33="","",VLOOKUP($A33,'Annex 2 Designated EHV charges'!$A:$O,7,0))</f>
        <v>NGC_BA</v>
      </c>
      <c r="E33" s="101" t="str">
        <f>IFERROR(IF(VLOOKUP($A33,'Annex 2 Designated EHV charges'!$A:$P,9,FALSE)=0,"",VLOOKUP($A33,'Annex 2 Designated EHV charges'!$A:$P,9,FALSE)),"")</f>
        <v/>
      </c>
      <c r="F33" s="207">
        <f>IFERROR(IF(VLOOKUP($A33,'Annex 2 Designated EHV charges'!$A:$P,10,FALSE)=0,"",VLOOKUP($A33,'Annex 2 Designated EHV charges'!$A:$P,10,FALSE)),"")</f>
        <v>975.67</v>
      </c>
      <c r="G33" s="102">
        <f>IFERROR(IF(VLOOKUP($A33,'Annex 2 Designated EHV charges'!$A:$P,11,FALSE)=0,"",VLOOKUP($A33,'Annex 2 Designated EHV charges'!$A:$P,11,FALSE)),"")</f>
        <v>0.86</v>
      </c>
      <c r="H33" s="102">
        <f>IFERROR(IF(VLOOKUP($A33,'Annex 2 Designated EHV charges'!$A:$P,12,FALSE)=0,"",VLOOKUP($A33,'Annex 2 Designated EHV charges'!$A:$P,12,FALSE)),"")</f>
        <v>0.86</v>
      </c>
    </row>
    <row r="34" spans="1:8" ht="25.5" x14ac:dyDescent="0.2">
      <c r="A34" s="97" t="str">
        <f t="array" ref="A34">IFERROR(INDEX('Annex 2 Designated EHV charges'!$A$11:$A$58, MATCH(0, IF(ISBLANK('Annex 2 Designated EHV charges'!$A$11:$A$58),1, COUNTIF(A$4:$A33, 'Annex 2 Designated EHV charges'!$A$11:$A$58)), 0)),"")</f>
        <v>NR_BOW</v>
      </c>
      <c r="B34" s="97">
        <f>IF($A34="","",VLOOKUP($A34,'Annex 2 Designated EHV charges'!$A:$O,2,0))</f>
        <v>807</v>
      </c>
      <c r="C34" s="98" t="str">
        <f>IF($A34="","",VLOOKUP($A34,'Annex 2 Designated EHV charges'!$A:$O,3,0))</f>
        <v>1200060280440;1200060280468</v>
      </c>
      <c r="D34" s="97" t="str">
        <f>IF($A34="","",VLOOKUP($A34,'Annex 2 Designated EHV charges'!$A:$O,7,0))</f>
        <v>NR_BOW</v>
      </c>
      <c r="E34" s="101">
        <f>IFERROR(IF(VLOOKUP($A34,'Annex 2 Designated EHV charges'!$A:$P,9,FALSE)=0,"",VLOOKUP($A34,'Annex 2 Designated EHV charges'!$A:$P,9,FALSE)),"")</f>
        <v>8.0000000000000002E-3</v>
      </c>
      <c r="F34" s="207">
        <f>IFERROR(IF(VLOOKUP($A34,'Annex 2 Designated EHV charges'!$A:$P,10,FALSE)=0,"",VLOOKUP($A34,'Annex 2 Designated EHV charges'!$A:$P,10,FALSE)),"")</f>
        <v>36853.769999999997</v>
      </c>
      <c r="G34" s="102">
        <f>IFERROR(IF(VLOOKUP($A34,'Annex 2 Designated EHV charges'!$A:$P,11,FALSE)=0,"",VLOOKUP($A34,'Annex 2 Designated EHV charges'!$A:$P,11,FALSE)),"")</f>
        <v>4.32</v>
      </c>
      <c r="H34" s="102">
        <f>IFERROR(IF(VLOOKUP($A34,'Annex 2 Designated EHV charges'!$A:$P,12,FALSE)=0,"",VLOOKUP($A34,'Annex 2 Designated EHV charges'!$A:$P,12,FALSE)),"")</f>
        <v>4.32</v>
      </c>
    </row>
    <row r="35" spans="1:8" x14ac:dyDescent="0.2">
      <c r="A35" s="97" t="str">
        <f t="array" ref="A35">IFERROR(INDEX('Annex 2 Designated EHV charges'!$A$11:$A$58, MATCH(0, IF(ISBLANK('Annex 2 Designated EHV charges'!$A$11:$A$58),1, COUNTIF(A$4:$A34, 'Annex 2 Designated EHV charges'!$A$11:$A$58)), 0)),"")</f>
        <v>NR_BRO</v>
      </c>
      <c r="B35" s="97">
        <f>IF($A35="","",VLOOKUP($A35,'Annex 2 Designated EHV charges'!$A:$O,2,0))</f>
        <v>847</v>
      </c>
      <c r="C35" s="98">
        <f>IF($A35="","",VLOOKUP($A35,'Annex 2 Designated EHV charges'!$A:$O,3,0))</f>
        <v>1200010251559</v>
      </c>
      <c r="D35" s="97" t="str">
        <f>IF($A35="","",VLOOKUP($A35,'Annex 2 Designated EHV charges'!$A:$O,7,0))</f>
        <v>NR_BRO</v>
      </c>
      <c r="E35" s="101">
        <f>IFERROR(IF(VLOOKUP($A35,'Annex 2 Designated EHV charges'!$A:$P,9,FALSE)=0,"",VLOOKUP($A35,'Annex 2 Designated EHV charges'!$A:$P,9,FALSE)),"")</f>
        <v>0.13</v>
      </c>
      <c r="F35" s="207">
        <f>IFERROR(IF(VLOOKUP($A35,'Annex 2 Designated EHV charges'!$A:$P,10,FALSE)=0,"",VLOOKUP($A35,'Annex 2 Designated EHV charges'!$A:$P,10,FALSE)),"")</f>
        <v>72138.7</v>
      </c>
      <c r="G35" s="102">
        <f>IFERROR(IF(VLOOKUP($A35,'Annex 2 Designated EHV charges'!$A:$P,11,FALSE)=0,"",VLOOKUP($A35,'Annex 2 Designated EHV charges'!$A:$P,11,FALSE)),"")</f>
        <v>3.11</v>
      </c>
      <c r="H35" s="102">
        <f>IFERROR(IF(VLOOKUP($A35,'Annex 2 Designated EHV charges'!$A:$P,12,FALSE)=0,"",VLOOKUP($A35,'Annex 2 Designated EHV charges'!$A:$P,12,FALSE)),"")</f>
        <v>3.11</v>
      </c>
    </row>
    <row r="36" spans="1:8" x14ac:dyDescent="0.2">
      <c r="A36" s="97" t="str">
        <f t="array" ref="A36">IFERROR(INDEX('Annex 2 Designated EHV charges'!$A$11:$A$58, MATCH(0, IF(ISBLANK('Annex 2 Designated EHV charges'!$A$11:$A$58),1, COUNTIF(A$4:$A35, 'Annex 2 Designated EHV charges'!$A$11:$A$58)), 0)),"")</f>
        <v>NR_CIT</v>
      </c>
      <c r="B36" s="97">
        <f>IF($A36="","",VLOOKUP($A36,'Annex 2 Designated EHV charges'!$A:$O,2,0))</f>
        <v>846</v>
      </c>
      <c r="C36" s="98">
        <f>IF($A36="","",VLOOKUP($A36,'Annex 2 Designated EHV charges'!$A:$O,3,0))</f>
        <v>1200010251521</v>
      </c>
      <c r="D36" s="97" t="str">
        <f>IF($A36="","",VLOOKUP($A36,'Annex 2 Designated EHV charges'!$A:$O,7,0))</f>
        <v>NR_CIT</v>
      </c>
      <c r="E36" s="101">
        <f>IFERROR(IF(VLOOKUP($A36,'Annex 2 Designated EHV charges'!$A:$P,9,FALSE)=0,"",VLOOKUP($A36,'Annex 2 Designated EHV charges'!$A:$P,9,FALSE)),"")</f>
        <v>2E-3</v>
      </c>
      <c r="F36" s="207">
        <f>IFERROR(IF(VLOOKUP($A36,'Annex 2 Designated EHV charges'!$A:$P,10,FALSE)=0,"",VLOOKUP($A36,'Annex 2 Designated EHV charges'!$A:$P,10,FALSE)),"")</f>
        <v>1103.23</v>
      </c>
      <c r="G36" s="102">
        <f>IFERROR(IF(VLOOKUP($A36,'Annex 2 Designated EHV charges'!$A:$P,11,FALSE)=0,"",VLOOKUP($A36,'Annex 2 Designated EHV charges'!$A:$P,11,FALSE)),"")</f>
        <v>1.61</v>
      </c>
      <c r="H36" s="102">
        <f>IFERROR(IF(VLOOKUP($A36,'Annex 2 Designated EHV charges'!$A:$P,12,FALSE)=0,"",VLOOKUP($A36,'Annex 2 Designated EHV charges'!$A:$P,12,FALSE)),"")</f>
        <v>1.61</v>
      </c>
    </row>
    <row r="37" spans="1:8" x14ac:dyDescent="0.2">
      <c r="A37" s="97" t="str">
        <f t="array" ref="A37">IFERROR(INDEX('Annex 2 Designated EHV charges'!$A$11:$A$58, MATCH(0, IF(ISBLANK('Annex 2 Designated EHV charges'!$A$11:$A$58),1, COUNTIF(A$4:$A36, 'Annex 2 Designated EHV charges'!$A$11:$A$58)), 0)),"")</f>
        <v>NR_MAD</v>
      </c>
      <c r="B37" s="97">
        <f>IF($A37="","",VLOOKUP($A37,'Annex 2 Designated EHV charges'!$A:$O,2,0))</f>
        <v>840</v>
      </c>
      <c r="C37" s="98">
        <f>IF($A37="","",VLOOKUP($A37,'Annex 2 Designated EHV charges'!$A:$O,3,0))</f>
        <v>1200010251540</v>
      </c>
      <c r="D37" s="97" t="str">
        <f>IF($A37="","",VLOOKUP($A37,'Annex 2 Designated EHV charges'!$A:$O,7,0))</f>
        <v>NR_MAD</v>
      </c>
      <c r="E37" s="101">
        <f>IFERROR(IF(VLOOKUP($A37,'Annex 2 Designated EHV charges'!$A:$P,9,FALSE)=0,"",VLOOKUP($A37,'Annex 2 Designated EHV charges'!$A:$P,9,FALSE)),"")</f>
        <v>0.03</v>
      </c>
      <c r="F37" s="207">
        <f>IFERROR(IF(VLOOKUP($A37,'Annex 2 Designated EHV charges'!$A:$P,10,FALSE)=0,"",VLOOKUP($A37,'Annex 2 Designated EHV charges'!$A:$P,10,FALSE)),"")</f>
        <v>1230.79</v>
      </c>
      <c r="G37" s="102">
        <f>IFERROR(IF(VLOOKUP($A37,'Annex 2 Designated EHV charges'!$A:$P,11,FALSE)=0,"",VLOOKUP($A37,'Annex 2 Designated EHV charges'!$A:$P,11,FALSE)),"")</f>
        <v>1.1100000000000001</v>
      </c>
      <c r="H37" s="102">
        <f>IFERROR(IF(VLOOKUP($A37,'Annex 2 Designated EHV charges'!$A:$P,12,FALSE)=0,"",VLOOKUP($A37,'Annex 2 Designated EHV charges'!$A:$P,12,FALSE)),"")</f>
        <v>1.1100000000000001</v>
      </c>
    </row>
    <row r="38" spans="1:8" x14ac:dyDescent="0.2">
      <c r="A38" s="97" t="str">
        <f t="array" ref="A38">IFERROR(INDEX('Annex 2 Designated EHV charges'!$A$11:$A$58, MATCH(0, IF(ISBLANK('Annex 2 Designated EHV charges'!$A$11:$A$58),1, COUNTIF(A$4:$A37, 'Annex 2 Designated EHV charges'!$A$11:$A$58)), 0)),"")</f>
        <v>NR_W11</v>
      </c>
      <c r="B38" s="97">
        <f>IF($A38="","",VLOOKUP($A38,'Annex 2 Designated EHV charges'!$A:$O,2,0))</f>
        <v>841</v>
      </c>
      <c r="C38" s="98">
        <f>IF($A38="","",VLOOKUP($A38,'Annex 2 Designated EHV charges'!$A:$O,3,0))</f>
        <v>1200010251512</v>
      </c>
      <c r="D38" s="97" t="str">
        <f>IF($A38="","",VLOOKUP($A38,'Annex 2 Designated EHV charges'!$A:$O,7,0))</f>
        <v>NR_W11</v>
      </c>
      <c r="E38" s="101" t="str">
        <f>IFERROR(IF(VLOOKUP($A38,'Annex 2 Designated EHV charges'!$A:$P,9,FALSE)=0,"",VLOOKUP($A38,'Annex 2 Designated EHV charges'!$A:$P,9,FALSE)),"")</f>
        <v/>
      </c>
      <c r="F38" s="207">
        <f>IFERROR(IF(VLOOKUP($A38,'Annex 2 Designated EHV charges'!$A:$P,10,FALSE)=0,"",VLOOKUP($A38,'Annex 2 Designated EHV charges'!$A:$P,10,FALSE)),"")</f>
        <v>37581.58</v>
      </c>
      <c r="G38" s="102">
        <f>IFERROR(IF(VLOOKUP($A38,'Annex 2 Designated EHV charges'!$A:$P,11,FALSE)=0,"",VLOOKUP($A38,'Annex 2 Designated EHV charges'!$A:$P,11,FALSE)),"")</f>
        <v>2.81</v>
      </c>
      <c r="H38" s="102">
        <f>IFERROR(IF(VLOOKUP($A38,'Annex 2 Designated EHV charges'!$A:$P,12,FALSE)=0,"",VLOOKUP($A38,'Annex 2 Designated EHV charges'!$A:$P,12,FALSE)),"")</f>
        <v>2.81</v>
      </c>
    </row>
    <row r="39" spans="1:8" x14ac:dyDescent="0.2">
      <c r="A39" s="97" t="str">
        <f t="array" ref="A39">IFERROR(INDEX('Annex 2 Designated EHV charges'!$A$11:$A$58, MATCH(0, IF(ISBLANK('Annex 2 Designated EHV charges'!$A$11:$A$58),1, COUNTIF(A$4:$A38, 'Annex 2 Designated EHV charges'!$A$11:$A$58)), 0)),"")</f>
        <v>NR_W25</v>
      </c>
      <c r="B39" s="97">
        <f>IF($A39="","",VLOOKUP($A39,'Annex 2 Designated EHV charges'!$A:$O,2,0))</f>
        <v>842</v>
      </c>
      <c r="C39" s="98">
        <f>IF($A39="","",VLOOKUP($A39,'Annex 2 Designated EHV charges'!$A:$O,3,0))</f>
        <v>1200010251498</v>
      </c>
      <c r="D39" s="97" t="str">
        <f>IF($A39="","",VLOOKUP($A39,'Annex 2 Designated EHV charges'!$A:$O,7,0))</f>
        <v>NR_W25</v>
      </c>
      <c r="E39" s="101">
        <f>IFERROR(IF(VLOOKUP($A39,'Annex 2 Designated EHV charges'!$A:$P,9,FALSE)=0,"",VLOOKUP($A39,'Annex 2 Designated EHV charges'!$A:$P,9,FALSE)),"")</f>
        <v>1.6E-2</v>
      </c>
      <c r="F39" s="207">
        <f>IFERROR(IF(VLOOKUP($A39,'Annex 2 Designated EHV charges'!$A:$P,10,FALSE)=0,"",VLOOKUP($A39,'Annex 2 Designated EHV charges'!$A:$P,10,FALSE)),"")</f>
        <v>36223.61</v>
      </c>
      <c r="G39" s="102">
        <f>IFERROR(IF(VLOOKUP($A39,'Annex 2 Designated EHV charges'!$A:$P,11,FALSE)=0,"",VLOOKUP($A39,'Annex 2 Designated EHV charges'!$A:$P,11,FALSE)),"")</f>
        <v>3.15</v>
      </c>
      <c r="H39" s="102">
        <f>IFERROR(IF(VLOOKUP($A39,'Annex 2 Designated EHV charges'!$A:$P,12,FALSE)=0,"",VLOOKUP($A39,'Annex 2 Designated EHV charges'!$A:$P,12,FALSE)),"")</f>
        <v>3.15</v>
      </c>
    </row>
    <row r="40" spans="1:8" x14ac:dyDescent="0.2">
      <c r="A40" s="97" t="str">
        <f t="array" ref="A40">IFERROR(INDEX('Annex 2 Designated EHV charges'!$A$11:$A$58, MATCH(0, IF(ISBLANK('Annex 2 Designated EHV charges'!$A$11:$A$58),1, COUNTIF(A$4:$A39, 'Annex 2 Designated EHV charges'!$A$11:$A$58)), 0)),"")</f>
        <v>NR_WES</v>
      </c>
      <c r="B40" s="97">
        <f>IF($A40="","",VLOOKUP($A40,'Annex 2 Designated EHV charges'!$A:$O,2,0))</f>
        <v>848</v>
      </c>
      <c r="C40" s="98">
        <f>IF($A40="","",VLOOKUP($A40,'Annex 2 Designated EHV charges'!$A:$O,3,0))</f>
        <v>1200010251568</v>
      </c>
      <c r="D40" s="97" t="str">
        <f>IF($A40="","",VLOOKUP($A40,'Annex 2 Designated EHV charges'!$A:$O,7,0))</f>
        <v>NR_WES</v>
      </c>
      <c r="E40" s="101">
        <f>IFERROR(IF(VLOOKUP($A40,'Annex 2 Designated EHV charges'!$A:$P,9,FALSE)=0,"",VLOOKUP($A40,'Annex 2 Designated EHV charges'!$A:$P,9,FALSE)),"")</f>
        <v>0.214</v>
      </c>
      <c r="F40" s="207">
        <f>IFERROR(IF(VLOOKUP($A40,'Annex 2 Designated EHV charges'!$A:$P,10,FALSE)=0,"",VLOOKUP($A40,'Annex 2 Designated EHV charges'!$A:$P,10,FALSE)),"")</f>
        <v>76588.56</v>
      </c>
      <c r="G40" s="102">
        <f>IFERROR(IF(VLOOKUP($A40,'Annex 2 Designated EHV charges'!$A:$P,11,FALSE)=0,"",VLOOKUP($A40,'Annex 2 Designated EHV charges'!$A:$P,11,FALSE)),"")</f>
        <v>2.56</v>
      </c>
      <c r="H40" s="102">
        <f>IFERROR(IF(VLOOKUP($A40,'Annex 2 Designated EHV charges'!$A:$P,12,FALSE)=0,"",VLOOKUP($A40,'Annex 2 Designated EHV charges'!$A:$P,12,FALSE)),"")</f>
        <v>2.56</v>
      </c>
    </row>
    <row r="41" spans="1:8" x14ac:dyDescent="0.2">
      <c r="A41" s="97" t="str">
        <f t="array" ref="A41">IFERROR(INDEX('Annex 2 Designated EHV charges'!$A$11:$A$58, MATCH(0, IF(ISBLANK('Annex 2 Designated EHV charges'!$A$11:$A$58),1, COUNTIF(A$4:$A40, 'Annex 2 Designated EHV charges'!$A$11:$A$58)), 0)),"")</f>
        <v>NR_WHI</v>
      </c>
      <c r="B41" s="97">
        <f>IF($A41="","",VLOOKUP($A41,'Annex 2 Designated EHV charges'!$A:$O,2,0))</f>
        <v>849</v>
      </c>
      <c r="C41" s="98">
        <f>IF($A41="","",VLOOKUP($A41,'Annex 2 Designated EHV charges'!$A:$O,3,0))</f>
        <v>1200050493611</v>
      </c>
      <c r="D41" s="97" t="str">
        <f>IF($A41="","",VLOOKUP($A41,'Annex 2 Designated EHV charges'!$A:$O,7,0))</f>
        <v>NR_WHI</v>
      </c>
      <c r="E41" s="101">
        <f>IFERROR(IF(VLOOKUP($A41,'Annex 2 Designated EHV charges'!$A:$P,9,FALSE)=0,"",VLOOKUP($A41,'Annex 2 Designated EHV charges'!$A:$P,9,FALSE)),"")</f>
        <v>5.8810000000000002</v>
      </c>
      <c r="F41" s="207">
        <f>IFERROR(IF(VLOOKUP($A41,'Annex 2 Designated EHV charges'!$A:$P,10,FALSE)=0,"",VLOOKUP($A41,'Annex 2 Designated EHV charges'!$A:$P,10,FALSE)),"")</f>
        <v>1103.23</v>
      </c>
      <c r="G41" s="102">
        <f>IFERROR(IF(VLOOKUP($A41,'Annex 2 Designated EHV charges'!$A:$P,11,FALSE)=0,"",VLOOKUP($A41,'Annex 2 Designated EHV charges'!$A:$P,11,FALSE)),"")</f>
        <v>2.68</v>
      </c>
      <c r="H41" s="102">
        <f>IFERROR(IF(VLOOKUP($A41,'Annex 2 Designated EHV charges'!$A:$P,12,FALSE)=0,"",VLOOKUP($A41,'Annex 2 Designated EHV charges'!$A:$P,12,FALSE)),"")</f>
        <v>2.68</v>
      </c>
    </row>
    <row r="42" spans="1:8" x14ac:dyDescent="0.2">
      <c r="A42" s="97" t="str">
        <f t="array" ref="A42">IFERROR(INDEX('Annex 2 Designated EHV charges'!$A$11:$A$58, MATCH(0, IF(ISBLANK('Annex 2 Designated EHV charges'!$A$11:$A$58),1, COUNTIF(A$4:$A41, 'Annex 2 Designated EHV charges'!$A$11:$A$58)), 0)),"")</f>
        <v>NR_WIM</v>
      </c>
      <c r="B42" s="97">
        <f>IF($A42="","",VLOOKUP($A42,'Annex 2 Designated EHV charges'!$A:$O,2,0))</f>
        <v>844</v>
      </c>
      <c r="C42" s="98">
        <f>IF($A42="","",VLOOKUP($A42,'Annex 2 Designated EHV charges'!$A:$O,3,0))</f>
        <v>1200010200874</v>
      </c>
      <c r="D42" s="97" t="str">
        <f>IF($A42="","",VLOOKUP($A42,'Annex 2 Designated EHV charges'!$A:$O,7,0))</f>
        <v>NR_WIM</v>
      </c>
      <c r="E42" s="101">
        <f>IFERROR(IF(VLOOKUP($A42,'Annex 2 Designated EHV charges'!$A:$P,9,FALSE)=0,"",VLOOKUP($A42,'Annex 2 Designated EHV charges'!$A:$P,9,FALSE)),"")</f>
        <v>0.19700000000000001</v>
      </c>
      <c r="F42" s="207">
        <f>IFERROR(IF(VLOOKUP($A42,'Annex 2 Designated EHV charges'!$A:$P,10,FALSE)=0,"",VLOOKUP($A42,'Annex 2 Designated EHV charges'!$A:$P,10,FALSE)),"")</f>
        <v>81222.03</v>
      </c>
      <c r="G42" s="102">
        <f>IFERROR(IF(VLOOKUP($A42,'Annex 2 Designated EHV charges'!$A:$P,11,FALSE)=0,"",VLOOKUP($A42,'Annex 2 Designated EHV charges'!$A:$P,11,FALSE)),"")</f>
        <v>2.2799999999999998</v>
      </c>
      <c r="H42" s="102">
        <f>IFERROR(IF(VLOOKUP($A42,'Annex 2 Designated EHV charges'!$A:$P,12,FALSE)=0,"",VLOOKUP($A42,'Annex 2 Designated EHV charges'!$A:$P,12,FALSE)),"")</f>
        <v>2.2799999999999998</v>
      </c>
    </row>
    <row r="43" spans="1:8" ht="25.5" x14ac:dyDescent="0.2">
      <c r="A43" s="97" t="str">
        <f t="array" ref="A43">IFERROR(INDEX('Annex 2 Designated EHV charges'!$A$11:$A$58, MATCH(0, IF(ISBLANK('Annex 2 Designated EHV charges'!$A$11:$A$58),1, COUNTIF(A$4:$A42, 'Annex 2 Designated EHV charges'!$A$11:$A$58)), 0)),"")</f>
        <v>TELEHW</v>
      </c>
      <c r="B43" s="97">
        <f>IF($A43="","",VLOOKUP($A43,'Annex 2 Designated EHV charges'!$A:$O,2,0))</f>
        <v>809</v>
      </c>
      <c r="C43" s="98" t="str">
        <f>IF($A43="","",VLOOKUP($A43,'Annex 2 Designated EHV charges'!$A:$O,3,0))</f>
        <v>1200060951114;1200060951123</v>
      </c>
      <c r="D43" s="97" t="str">
        <f>IF($A43="","",VLOOKUP($A43,'Annex 2 Designated EHV charges'!$A:$O,7,0))</f>
        <v>TELEHW</v>
      </c>
      <c r="E43" s="101">
        <f>IFERROR(IF(VLOOKUP($A43,'Annex 2 Designated EHV charges'!$A:$P,9,FALSE)=0,"",VLOOKUP($A43,'Annex 2 Designated EHV charges'!$A:$P,9,FALSE)),"")</f>
        <v>3.0000000000000001E-3</v>
      </c>
      <c r="F43" s="207">
        <f>IFERROR(IF(VLOOKUP($A43,'Annex 2 Designated EHV charges'!$A:$P,10,FALSE)=0,"",VLOOKUP($A43,'Annex 2 Designated EHV charges'!$A:$P,10,FALSE)),"")</f>
        <v>70205.31</v>
      </c>
      <c r="G43" s="102">
        <f>IFERROR(IF(VLOOKUP($A43,'Annex 2 Designated EHV charges'!$A:$P,11,FALSE)=0,"",VLOOKUP($A43,'Annex 2 Designated EHV charges'!$A:$P,11,FALSE)),"")</f>
        <v>2.96</v>
      </c>
      <c r="H43" s="102">
        <f>IFERROR(IF(VLOOKUP($A43,'Annex 2 Designated EHV charges'!$A:$P,12,FALSE)=0,"",VLOOKUP($A43,'Annex 2 Designated EHV charges'!$A:$P,12,FALSE)),"")</f>
        <v>2.96</v>
      </c>
    </row>
    <row r="44" spans="1:8" ht="51" x14ac:dyDescent="0.2">
      <c r="A44" s="97" t="str">
        <f t="array" ref="A44">IFERROR(INDEX('Annex 2 Designated EHV charges'!$A$11:$A$58, MATCH(0, IF(ISBLANK('Annex 2 Designated EHV charges'!$A$11:$A$58),1, COUNTIF(A$4:$A43, 'Annex 2 Designated EHV charges'!$A$11:$A$58)), 0)),"")</f>
        <v>THAMEB</v>
      </c>
      <c r="B44" s="97">
        <f>IF($A44="","",VLOOKUP($A44,'Annex 2 Designated EHV charges'!$A:$O,2,0))</f>
        <v>828</v>
      </c>
      <c r="C44" s="98" t="str">
        <f>IF($A44="","",VLOOKUP($A44,'Annex 2 Designated EHV charges'!$A:$O,3,0))</f>
        <v>1200010146153;1200010146162;1200010146171;1200061197703</v>
      </c>
      <c r="D44" s="97" t="str">
        <f>IF($A44="","",VLOOKUP($A44,'Annex 2 Designated EHV charges'!$A:$O,7,0))</f>
        <v>THAMEB</v>
      </c>
      <c r="E44" s="101" t="str">
        <f>IFERROR(IF(VLOOKUP($A44,'Annex 2 Designated EHV charges'!$A:$P,9,FALSE)=0,"",VLOOKUP($A44,'Annex 2 Designated EHV charges'!$A:$P,9,FALSE)),"")</f>
        <v/>
      </c>
      <c r="F44" s="207">
        <f>IFERROR(IF(VLOOKUP($A44,'Annex 2 Designated EHV charges'!$A:$P,10,FALSE)=0,"",VLOOKUP($A44,'Annex 2 Designated EHV charges'!$A:$P,10,FALSE)),"")</f>
        <v>72666.02</v>
      </c>
      <c r="G44" s="102">
        <f>IFERROR(IF(VLOOKUP($A44,'Annex 2 Designated EHV charges'!$A:$P,11,FALSE)=0,"",VLOOKUP($A44,'Annex 2 Designated EHV charges'!$A:$P,11,FALSE)),"")</f>
        <v>0.78</v>
      </c>
      <c r="H44" s="102">
        <f>IFERROR(IF(VLOOKUP($A44,'Annex 2 Designated EHV charges'!$A:$P,12,FALSE)=0,"",VLOOKUP($A44,'Annex 2 Designated EHV charges'!$A:$P,12,FALSE)),"")</f>
        <v>0.78</v>
      </c>
    </row>
    <row r="45" spans="1:8" ht="25.5" x14ac:dyDescent="0.2">
      <c r="A45" s="97" t="str">
        <f t="array" ref="A45">IFERROR(INDEX('Annex 2 Designated EHV charges'!$A$11:$A$58, MATCH(0, IF(ISBLANK('Annex 2 Designated EHV charges'!$A$11:$A$58),1, COUNTIF(A$4:$A44, 'Annex 2 Designated EHV charges'!$A$11:$A$58)), 0)),"")</f>
        <v>THAMEC</v>
      </c>
      <c r="B45" s="97">
        <f>IF($A45="","",VLOOKUP($A45,'Annex 2 Designated EHV charges'!$A:$O,2,0))</f>
        <v>802</v>
      </c>
      <c r="C45" s="98" t="str">
        <f>IF($A45="","",VLOOKUP($A45,'Annex 2 Designated EHV charges'!$A:$O,3,0))</f>
        <v>1200061171324;1200061171333</v>
      </c>
      <c r="D45" s="97" t="str">
        <f>IF($A45="","",VLOOKUP($A45,'Annex 2 Designated EHV charges'!$A:$O,7,0))</f>
        <v>THAMEC</v>
      </c>
      <c r="E45" s="101" t="str">
        <f>IFERROR(IF(VLOOKUP($A45,'Annex 2 Designated EHV charges'!$A:$P,9,FALSE)=0,"",VLOOKUP($A45,'Annex 2 Designated EHV charges'!$A:$P,9,FALSE)),"")</f>
        <v/>
      </c>
      <c r="F45" s="207">
        <f>IFERROR(IF(VLOOKUP($A45,'Annex 2 Designated EHV charges'!$A:$P,10,FALSE)=0,"",VLOOKUP($A45,'Annex 2 Designated EHV charges'!$A:$P,10,FALSE)),"")</f>
        <v>71987.77</v>
      </c>
      <c r="G45" s="102">
        <f>IFERROR(IF(VLOOKUP($A45,'Annex 2 Designated EHV charges'!$A:$P,11,FALSE)=0,"",VLOOKUP($A45,'Annex 2 Designated EHV charges'!$A:$P,11,FALSE)),"")</f>
        <v>4.3600000000000003</v>
      </c>
      <c r="H45" s="102">
        <f>IFERROR(IF(VLOOKUP($A45,'Annex 2 Designated EHV charges'!$A:$P,12,FALSE)=0,"",VLOOKUP($A45,'Annex 2 Designated EHV charges'!$A:$P,12,FALSE)),"")</f>
        <v>4.3600000000000003</v>
      </c>
    </row>
    <row r="46" spans="1:8" ht="51" x14ac:dyDescent="0.2">
      <c r="A46" s="97" t="str">
        <f t="array" ref="A46">IFERROR(INDEX('Annex 2 Designated EHV charges'!$A$11:$A$58, MATCH(0, IF(ISBLANK('Annex 2 Designated EHV charges'!$A$11:$A$58),1, COUNTIF(A$4:$A45, 'Annex 2 Designated EHV charges'!$A$11:$A$58)), 0)),"")</f>
        <v>TWKIRT</v>
      </c>
      <c r="B46" s="97">
        <f>IF($A46="","",VLOOKUP($A46,'Annex 2 Designated EHV charges'!$A:$O,2,0))</f>
        <v>823</v>
      </c>
      <c r="C46" s="98" t="str">
        <f>IF($A46="","",VLOOKUP($A46,'Annex 2 Designated EHV charges'!$A:$O,3,0))</f>
        <v>1200061999491;1200061999507;1200062001242;1200062001251</v>
      </c>
      <c r="D46" s="97" t="str">
        <f>IF($A46="","",VLOOKUP($A46,'Annex 2 Designated EHV charges'!$A:$O,7,0))</f>
        <v>TWKIRT</v>
      </c>
      <c r="E46" s="101">
        <f>IFERROR(IF(VLOOKUP($A46,'Annex 2 Designated EHV charges'!$A:$P,9,FALSE)=0,"",VLOOKUP($A46,'Annex 2 Designated EHV charges'!$A:$P,9,FALSE)),"")</f>
        <v>1.454</v>
      </c>
      <c r="F46" s="207">
        <f>IFERROR(IF(VLOOKUP($A46,'Annex 2 Designated EHV charges'!$A:$P,10,FALSE)=0,"",VLOOKUP($A46,'Annex 2 Designated EHV charges'!$A:$P,10,FALSE)),"")</f>
        <v>1230.79</v>
      </c>
      <c r="G46" s="102">
        <f>IFERROR(IF(VLOOKUP($A46,'Annex 2 Designated EHV charges'!$A:$P,11,FALSE)=0,"",VLOOKUP($A46,'Annex 2 Designated EHV charges'!$A:$P,11,FALSE)),"")</f>
        <v>0.78</v>
      </c>
      <c r="H46" s="102">
        <f>IFERROR(IF(VLOOKUP($A46,'Annex 2 Designated EHV charges'!$A:$P,12,FALSE)=0,"",VLOOKUP($A46,'Annex 2 Designated EHV charges'!$A:$P,12,FALSE)),"")</f>
        <v>0.78</v>
      </c>
    </row>
    <row r="47" spans="1:8" ht="25.5" x14ac:dyDescent="0.2">
      <c r="A47" s="97" t="str">
        <f t="array" ref="A47">IFERROR(INDEX('Annex 2 Designated EHV charges'!$A$11:$A$58, MATCH(0, IF(ISBLANK('Annex 2 Designated EHV charges'!$A$11:$A$58),1, COUNTIF(A$4:$A46, 'Annex 2 Designated EHV charges'!$A$11:$A$58)), 0)),"")</f>
        <v>VOLTDC</v>
      </c>
      <c r="B47" s="97">
        <f>IF($A47="","",VLOOKUP($A47,'Annex 2 Designated EHV charges'!$A:$O,2,0))</f>
        <v>803</v>
      </c>
      <c r="C47" s="98" t="str">
        <f>IF($A47="","",VLOOKUP($A47,'Annex 2 Designated EHV charges'!$A:$O,3,0))</f>
        <v>1200061148032;1200061148041</v>
      </c>
      <c r="D47" s="97" t="str">
        <f>IF($A47="","",VLOOKUP($A47,'Annex 2 Designated EHV charges'!$A:$O,7,0))</f>
        <v>VOLTDC</v>
      </c>
      <c r="E47" s="101">
        <f>IFERROR(IF(VLOOKUP($A47,'Annex 2 Designated EHV charges'!$A:$P,9,FALSE)=0,"",VLOOKUP($A47,'Annex 2 Designated EHV charges'!$A:$P,9,FALSE)),"")</f>
        <v>0.20699999999999999</v>
      </c>
      <c r="F47" s="207">
        <f>IFERROR(IF(VLOOKUP($A47,'Annex 2 Designated EHV charges'!$A:$P,10,FALSE)=0,"",VLOOKUP($A47,'Annex 2 Designated EHV charges'!$A:$P,10,FALSE)),"")</f>
        <v>12519.87</v>
      </c>
      <c r="G47" s="102">
        <f>IFERROR(IF(VLOOKUP($A47,'Annex 2 Designated EHV charges'!$A:$P,11,FALSE)=0,"",VLOOKUP($A47,'Annex 2 Designated EHV charges'!$A:$P,11,FALSE)),"")</f>
        <v>2.92</v>
      </c>
      <c r="H47" s="102">
        <f>IFERROR(IF(VLOOKUP($A47,'Annex 2 Designated EHV charges'!$A:$P,12,FALSE)=0,"",VLOOKUP($A47,'Annex 2 Designated EHV charges'!$A:$P,12,FALSE)),"")</f>
        <v>2.92</v>
      </c>
    </row>
    <row r="48" spans="1:8" x14ac:dyDescent="0.2">
      <c r="A48" s="97" t="str">
        <f t="array" ref="A48">IFERROR(INDEX('Annex 2 Designated EHV charges'!$A$11:$A$58, MATCH(0, IF(ISBLANK('Annex 2 Designated EHV charges'!$A$11:$A$58),1, COUNTIF(A$4:$A47, 'Annex 2 Designated EHV charges'!$A$11:$A$58)), 0)),"")</f>
        <v>BELVE2</v>
      </c>
      <c r="B48" s="97">
        <f>IF($A48="","",VLOOKUP($A48,'Annex 2 Designated EHV charges'!$A:$O,2,0))</f>
        <v>865</v>
      </c>
      <c r="C48" s="98">
        <f>IF($A48="","",VLOOKUP($A48,'Annex 2 Designated EHV charges'!$A:$O,3,0))</f>
        <v>1200063126740</v>
      </c>
      <c r="D48" s="97" t="str">
        <f>IF($A48="","",VLOOKUP($A48,'Annex 2 Designated EHV charges'!$A:$O,7,0))</f>
        <v>BELVE2</v>
      </c>
      <c r="E48" s="101" t="str">
        <f>IFERROR(IF(VLOOKUP($A48,'Annex 2 Designated EHV charges'!$A:$P,9,FALSE)=0,"",VLOOKUP($A48,'Annex 2 Designated EHV charges'!$A:$P,9,FALSE)),"")</f>
        <v/>
      </c>
      <c r="F48" s="207">
        <f>IFERROR(IF(VLOOKUP($A48,'Annex 2 Designated EHV charges'!$A:$P,10,FALSE)=0,"",VLOOKUP($A48,'Annex 2 Designated EHV charges'!$A:$P,10,FALSE)),"")</f>
        <v>29394.67</v>
      </c>
      <c r="G48" s="102">
        <f>IFERROR(IF(VLOOKUP($A48,'Annex 2 Designated EHV charges'!$A:$P,11,FALSE)=0,"",VLOOKUP($A48,'Annex 2 Designated EHV charges'!$A:$P,11,FALSE)),"")</f>
        <v>1.06</v>
      </c>
      <c r="H48" s="102">
        <f>IFERROR(IF(VLOOKUP($A48,'Annex 2 Designated EHV charges'!$A:$P,12,FALSE)=0,"",VLOOKUP($A48,'Annex 2 Designated EHV charges'!$A:$P,12,FALSE)),"")</f>
        <v>1.06</v>
      </c>
    </row>
    <row r="49" spans="1:8" x14ac:dyDescent="0.2">
      <c r="A49" s="97" t="str">
        <f t="array" ref="A49">IFERROR(INDEX('Annex 2 Designated EHV charges'!$A$11:$A$58, MATCH(0, IF(ISBLANK('Annex 2 Designated EHV charges'!$A$11:$A$58),1, COUNTIF(A$4:$A48, 'Annex 2 Designated EHV charges'!$A$11:$A$58)), 0)),"")</f>
        <v>BELVED</v>
      </c>
      <c r="B49" s="97">
        <f>IF($A49="","",VLOOKUP($A49,'Annex 2 Designated EHV charges'!$A:$O,2,0))</f>
        <v>815</v>
      </c>
      <c r="C49" s="98">
        <f>IF($A49="","",VLOOKUP($A49,'Annex 2 Designated EHV charges'!$A:$O,3,0))</f>
        <v>1200060787109</v>
      </c>
      <c r="D49" s="97" t="str">
        <f>IF($A49="","",VLOOKUP($A49,'Annex 2 Designated EHV charges'!$A:$O,7,0))</f>
        <v>BELVED</v>
      </c>
      <c r="E49" s="101" t="str">
        <f>IFERROR(IF(VLOOKUP($A49,'Annex 2 Designated EHV charges'!$A:$P,9,FALSE)=0,"",VLOOKUP($A49,'Annex 2 Designated EHV charges'!$A:$P,9,FALSE)),"")</f>
        <v/>
      </c>
      <c r="F49" s="207">
        <f>IFERROR(IF(VLOOKUP($A49,'Annex 2 Designated EHV charges'!$A:$P,10,FALSE)=0,"",VLOOKUP($A49,'Annex 2 Designated EHV charges'!$A:$P,10,FALSE)),"")</f>
        <v>545.58000000000004</v>
      </c>
      <c r="G49" s="102">
        <f>IFERROR(IF(VLOOKUP($A49,'Annex 2 Designated EHV charges'!$A:$P,11,FALSE)=0,"",VLOOKUP($A49,'Annex 2 Designated EHV charges'!$A:$P,11,FALSE)),"")</f>
        <v>0.68</v>
      </c>
      <c r="H49" s="102">
        <f>IFERROR(IF(VLOOKUP($A49,'Annex 2 Designated EHV charges'!$A:$P,12,FALSE)=0,"",VLOOKUP($A49,'Annex 2 Designated EHV charges'!$A:$P,12,FALSE)),"")</f>
        <v>0.68</v>
      </c>
    </row>
    <row r="50" spans="1:8" x14ac:dyDescent="0.2">
      <c r="A50" s="97" t="str">
        <f t="array" ref="A50">IFERROR(INDEX('Annex 2 Designated EHV charges'!$A$11:$A$58, MATCH(0, IF(ISBLANK('Annex 2 Designated EHV charges'!$A$11:$A$58),1, COUNTIF(A$4:$A49, 'Annex 2 Designated EHV charges'!$A$11:$A$58)), 0)),"")</f>
        <v>SELCHP</v>
      </c>
      <c r="B50" s="97">
        <f>IF($A50="","",VLOOKUP($A50,'Annex 2 Designated EHV charges'!$A:$O,2,0))</f>
        <v>827</v>
      </c>
      <c r="C50" s="98">
        <f>IF($A50="","",VLOOKUP($A50,'Annex 2 Designated EHV charges'!$A:$O,3,0))</f>
        <v>1200010175650</v>
      </c>
      <c r="D50" s="97" t="str">
        <f>IF($A50="","",VLOOKUP($A50,'Annex 2 Designated EHV charges'!$A:$O,7,0))</f>
        <v>SELCHP</v>
      </c>
      <c r="E50" s="101">
        <f>IFERROR(IF(VLOOKUP($A50,'Annex 2 Designated EHV charges'!$A:$P,9,FALSE)=0,"",VLOOKUP($A50,'Annex 2 Designated EHV charges'!$A:$P,9,FALSE)),"")</f>
        <v>0.30399999999999999</v>
      </c>
      <c r="F50" s="207">
        <f>IFERROR(IF(VLOOKUP($A50,'Annex 2 Designated EHV charges'!$A:$P,10,FALSE)=0,"",VLOOKUP($A50,'Annex 2 Designated EHV charges'!$A:$P,10,FALSE)),"")</f>
        <v>1458.55</v>
      </c>
      <c r="G50" s="102">
        <f>IFERROR(IF(VLOOKUP($A50,'Annex 2 Designated EHV charges'!$A:$P,11,FALSE)=0,"",VLOOKUP($A50,'Annex 2 Designated EHV charges'!$A:$P,11,FALSE)),"")</f>
        <v>1.1100000000000001</v>
      </c>
      <c r="H50" s="102">
        <f>IFERROR(IF(VLOOKUP($A50,'Annex 2 Designated EHV charges'!$A:$P,12,FALSE)=0,"",VLOOKUP($A50,'Annex 2 Designated EHV charges'!$A:$P,12,FALSE)),"")</f>
        <v>1.1100000000000001</v>
      </c>
    </row>
    <row r="51" spans="1:8" x14ac:dyDescent="0.2">
      <c r="A51" s="97" t="str">
        <f t="array" ref="A51">IFERROR(INDEX('Annex 2 Designated EHV charges'!$A$11:$A$58, MATCH(0, IF(ISBLANK('Annex 2 Designated EHV charges'!$A$11:$A$58),1, COUNTIF(A$4:$A50, 'Annex 2 Designated EHV charges'!$A$11:$A$58)), 0)),"")</f>
        <v>TLRSLN</v>
      </c>
      <c r="B51" s="97">
        <f>IF($A51="","",VLOOKUP($A51,'Annex 2 Designated EHV charges'!$A:$O,2,0))</f>
        <v>0</v>
      </c>
      <c r="C51" s="98" t="str">
        <f>IF($A51="","",VLOOKUP($A51,'Annex 2 Designated EHV charges'!$A:$O,3,0))</f>
        <v>MSID: 5538</v>
      </c>
      <c r="D51" s="97" t="str">
        <f>IF($A51="","",VLOOKUP($A51,'Annex 2 Designated EHV charges'!$A:$O,7,0))</f>
        <v>TLRSLN</v>
      </c>
      <c r="E51" s="101">
        <f>IFERROR(IF(VLOOKUP($A51,'Annex 2 Designated EHV charges'!$A:$P,9,FALSE)=0,"",VLOOKUP($A51,'Annex 2 Designated EHV charges'!$A:$P,9,FALSE)),"")</f>
        <v>1.4E-2</v>
      </c>
      <c r="F51" s="207">
        <f>IFERROR(IF(VLOOKUP($A51,'Annex 2 Designated EHV charges'!$A:$P,10,FALSE)=0,"",VLOOKUP($A51,'Annex 2 Designated EHV charges'!$A:$P,10,FALSE)),"")</f>
        <v>975.67</v>
      </c>
      <c r="G51" s="102">
        <f>IFERROR(IF(VLOOKUP($A51,'Annex 2 Designated EHV charges'!$A:$P,11,FALSE)=0,"",VLOOKUP($A51,'Annex 2 Designated EHV charges'!$A:$P,11,FALSE)),"")</f>
        <v>0.99</v>
      </c>
      <c r="H51" s="102">
        <f>IFERROR(IF(VLOOKUP($A51,'Annex 2 Designated EHV charges'!$A:$P,12,FALSE)=0,"",VLOOKUP($A51,'Annex 2 Designated EHV charges'!$A:$P,12,FALSE)),"")</f>
        <v>0.99</v>
      </c>
    </row>
    <row r="52" spans="1:8" x14ac:dyDescent="0.2">
      <c r="A52" s="53" t="str">
        <f t="array" ref="A52">IFERROR(INDEX('Annex 2 Designated EHV charges'!$A$11:$A$58, MATCH(0, IF(ISBLANK('Annex 2 Designated EHV charges'!$A$11:$A$58),1, COUNTIF(A$4:$A51, 'Annex 2 Designated EHV charges'!$A$11:$A$58)), 0)),"")</f>
        <v/>
      </c>
      <c r="B52" s="53" t="str">
        <f>IF($A52="","",VLOOKUP($A52,'Annex 2 Designated EHV charges'!$A:$O,2,0))</f>
        <v/>
      </c>
      <c r="C52" s="61" t="str">
        <f>IF($A52="","",VLOOKUP($A52,'Annex 2 Designated EHV charges'!$A:$O,3,0))</f>
        <v/>
      </c>
      <c r="D52" s="61" t="str">
        <f>IF($A52="","",VLOOKUP($A52,'Annex 2 Designated EHV charges'!$A:$O,7,0))</f>
        <v/>
      </c>
      <c r="E52" s="62" t="str">
        <f>IFERROR(IF(VLOOKUP($A52,'Annex 2 Designated EHV charges'!$A:$P,9,FALSE)=0,"",VLOOKUP($A52,'Annex 2 Designated EHV charges'!$A:$P,9,FALSE)),"")</f>
        <v/>
      </c>
      <c r="F52" s="208" t="str">
        <f>IFERROR(IF(VLOOKUP($A52,'Annex 2 Designated EHV charges'!$A:$P,10,FALSE)=0,"",VLOOKUP($A52,'Annex 2 Designated EHV charges'!$A:$P,10,FALSE)),"")</f>
        <v/>
      </c>
      <c r="G52" s="63" t="str">
        <f>IFERROR(IF(VLOOKUP($A52,'Annex 2 Designated EHV charges'!$A:$P,11,FALSE)=0,"",VLOOKUP($A52,'Annex 2 Designated EHV charges'!$A:$P,11,FALSE)),"")</f>
        <v/>
      </c>
      <c r="H52" s="53" t="str">
        <f>IFERROR(IF(VLOOKUP($A52,'Annex 2 Designated EHV charges'!$A:$P,12,FALSE)=0,"",VLOOKUP($A52,'Annex 2 Designated EHV charges'!$A:$P,12,FALSE)),"")</f>
        <v/>
      </c>
    </row>
    <row r="53" spans="1:8" x14ac:dyDescent="0.2">
      <c r="A53" s="53" t="str">
        <f t="array" ref="A53">IFERROR(INDEX('Annex 2 Designated EHV charges'!$A$11:$A$58, MATCH(0, IF(ISBLANK('Annex 2 Designated EHV charges'!$A$11:$A$58),1, COUNTIF(A$4:$A52, 'Annex 2 Designated EHV charges'!$A$11:$A$58)), 0)),"")</f>
        <v/>
      </c>
      <c r="B53" s="53" t="str">
        <f>IF($A53="","",VLOOKUP($A53,'Annex 2 Designated EHV charges'!$A:$O,2,0))</f>
        <v/>
      </c>
      <c r="C53" s="61" t="str">
        <f>IF($A53="","",VLOOKUP($A53,'Annex 2 Designated EHV charges'!$A:$O,3,0))</f>
        <v/>
      </c>
      <c r="D53" s="61" t="str">
        <f>IF($A53="","",VLOOKUP($A53,'Annex 2 Designated EHV charges'!$A:$O,7,0))</f>
        <v/>
      </c>
      <c r="E53" s="62" t="str">
        <f>IFERROR(IF(VLOOKUP($A53,'Annex 2 Designated EHV charges'!$A:$P,9,FALSE)=0,"",VLOOKUP($A53,'Annex 2 Designated EHV charges'!$A:$P,9,FALSE)),"")</f>
        <v/>
      </c>
      <c r="F53" s="208" t="str">
        <f>IFERROR(IF(VLOOKUP($A53,'Annex 2 Designated EHV charges'!$A:$P,10,FALSE)=0,"",VLOOKUP($A53,'Annex 2 Designated EHV charges'!$A:$P,10,FALSE)),"")</f>
        <v/>
      </c>
      <c r="G53" s="63" t="str">
        <f>IFERROR(IF(VLOOKUP($A53,'Annex 2 Designated EHV charges'!$A:$P,11,FALSE)=0,"",VLOOKUP($A53,'Annex 2 Designated EHV charges'!$A:$P,11,FALSE)),"")</f>
        <v/>
      </c>
      <c r="H53" s="53" t="str">
        <f>IFERROR(IF(VLOOKUP($A53,'Annex 2 Designated EHV charges'!$A:$P,12,FALSE)=0,"",VLOOKUP($A53,'Annex 2 Designated EHV charges'!$A:$P,12,FALSE)),"")</f>
        <v/>
      </c>
    </row>
    <row r="54" spans="1:8" x14ac:dyDescent="0.2">
      <c r="A54" s="53" t="str">
        <f t="array" ref="A54">IFERROR(INDEX('Annex 2 Designated EHV charges'!$A$11:$A$58, MATCH(0, IF(ISBLANK('Annex 2 Designated EHV charges'!$A$11:$A$58),1, COUNTIF(A$4:$A53, 'Annex 2 Designated EHV charges'!$A$11:$A$58)), 0)),"")</f>
        <v/>
      </c>
      <c r="B54" s="53" t="str">
        <f>IF($A54="","",VLOOKUP($A54,'Annex 2 Designated EHV charges'!$A:$O,2,0))</f>
        <v/>
      </c>
      <c r="C54" s="61" t="str">
        <f>IF($A54="","",VLOOKUP($A54,'Annex 2 Designated EHV charges'!$A:$O,3,0))</f>
        <v/>
      </c>
      <c r="D54" s="61" t="str">
        <f>IF($A54="","",VLOOKUP($A54,'Annex 2 Designated EHV charges'!$A:$O,7,0))</f>
        <v/>
      </c>
      <c r="E54" s="62" t="str">
        <f>IFERROR(IF(VLOOKUP($A54,'Annex 2 Designated EHV charges'!$A:$P,9,FALSE)=0,"",VLOOKUP($A54,'Annex 2 Designated EHV charges'!$A:$P,9,FALSE)),"")</f>
        <v/>
      </c>
      <c r="F54" s="208" t="str">
        <f>IFERROR(IF(VLOOKUP($A54,'Annex 2 Designated EHV charges'!$A:$P,10,FALSE)=0,"",VLOOKUP($A54,'Annex 2 Designated EHV charges'!$A:$P,10,FALSE)),"")</f>
        <v/>
      </c>
      <c r="G54" s="63" t="str">
        <f>IFERROR(IF(VLOOKUP($A54,'Annex 2 Designated EHV charges'!$A:$P,11,FALSE)=0,"",VLOOKUP($A54,'Annex 2 Designated EHV charges'!$A:$P,11,FALSE)),"")</f>
        <v/>
      </c>
      <c r="H54" s="53" t="str">
        <f>IFERROR(IF(VLOOKUP($A54,'Annex 2 Designated EHV charges'!$A:$P,12,FALSE)=0,"",VLOOKUP($A54,'Annex 2 Designated EHV charges'!$A:$P,12,FALSE)),"")</f>
        <v/>
      </c>
    </row>
    <row r="55" spans="1:8" x14ac:dyDescent="0.2">
      <c r="A55" s="53" t="str">
        <f t="array" ref="A55">IFERROR(INDEX('Annex 2 Designated EHV charges'!$A$11:$A$58, MATCH(0, IF(ISBLANK('Annex 2 Designated EHV charges'!$A$11:$A$58),1, COUNTIF(A$4:$A54, 'Annex 2 Designated EHV charges'!$A$11:$A$58)), 0)),"")</f>
        <v/>
      </c>
      <c r="B55" s="53" t="str">
        <f>IF($A55="","",VLOOKUP($A55,'Annex 2 Designated EHV charges'!$A:$O,2,0))</f>
        <v/>
      </c>
      <c r="C55" s="61" t="str">
        <f>IF($A55="","",VLOOKUP($A55,'Annex 2 Designated EHV charges'!$A:$O,3,0))</f>
        <v/>
      </c>
      <c r="D55" s="61" t="str">
        <f>IF($A55="","",VLOOKUP($A55,'Annex 2 Designated EHV charges'!$A:$O,7,0))</f>
        <v/>
      </c>
      <c r="E55" s="62" t="str">
        <f>IFERROR(IF(VLOOKUP($A55,'Annex 2 Designated EHV charges'!$A:$P,9,FALSE)=0,"",VLOOKUP($A55,'Annex 2 Designated EHV charges'!$A:$P,9,FALSE)),"")</f>
        <v/>
      </c>
      <c r="F55" s="208" t="str">
        <f>IFERROR(IF(VLOOKUP($A55,'Annex 2 Designated EHV charges'!$A:$P,10,FALSE)=0,"",VLOOKUP($A55,'Annex 2 Designated EHV charges'!$A:$P,10,FALSE)),"")</f>
        <v/>
      </c>
      <c r="G55" s="63" t="str">
        <f>IFERROR(IF(VLOOKUP($A55,'Annex 2 Designated EHV charges'!$A:$P,11,FALSE)=0,"",VLOOKUP($A55,'Annex 2 Designated EHV charges'!$A:$P,11,FALSE)),"")</f>
        <v/>
      </c>
      <c r="H55" s="53" t="str">
        <f>IFERROR(IF(VLOOKUP($A55,'Annex 2 Designated EHV charges'!$A:$P,12,FALSE)=0,"",VLOOKUP($A55,'Annex 2 Designated EHV charges'!$A:$P,12,FALSE)),"")</f>
        <v/>
      </c>
    </row>
    <row r="56" spans="1:8" x14ac:dyDescent="0.2">
      <c r="A56" s="53" t="str">
        <f t="array" ref="A56">IFERROR(INDEX('Annex 2 Designated EHV charges'!$A$11:$A$58, MATCH(0, IF(ISBLANK('Annex 2 Designated EHV charges'!$A$11:$A$58),1, COUNTIF(A$4:$A55, 'Annex 2 Designated EHV charges'!$A$11:$A$58)), 0)),"")</f>
        <v/>
      </c>
      <c r="B56" s="53" t="str">
        <f>IF($A56="","",VLOOKUP($A56,'Annex 2 Designated EHV charges'!$A:$O,2,0))</f>
        <v/>
      </c>
      <c r="C56" s="61" t="str">
        <f>IF($A56="","",VLOOKUP($A56,'Annex 2 Designated EHV charges'!$A:$O,3,0))</f>
        <v/>
      </c>
      <c r="D56" s="61" t="str">
        <f>IF($A56="","",VLOOKUP($A56,'Annex 2 Designated EHV charges'!$A:$O,7,0))</f>
        <v/>
      </c>
      <c r="E56" s="62" t="str">
        <f>IFERROR(IF(VLOOKUP($A56,'Annex 2 Designated EHV charges'!$A:$P,9,FALSE)=0,"",VLOOKUP($A56,'Annex 2 Designated EHV charges'!$A:$P,9,FALSE)),"")</f>
        <v/>
      </c>
      <c r="F56" s="208" t="str">
        <f>IFERROR(IF(VLOOKUP($A56,'Annex 2 Designated EHV charges'!$A:$P,10,FALSE)=0,"",VLOOKUP($A56,'Annex 2 Designated EHV charges'!$A:$P,10,FALSE)),"")</f>
        <v/>
      </c>
      <c r="G56" s="63" t="str">
        <f>IFERROR(IF(VLOOKUP($A56,'Annex 2 Designated EHV charges'!$A:$P,11,FALSE)=0,"",VLOOKUP($A56,'Annex 2 Designated EHV charges'!$A:$P,11,FALSE)),"")</f>
        <v/>
      </c>
      <c r="H56" s="53" t="str">
        <f>IFERROR(IF(VLOOKUP($A56,'Annex 2 Designated EHV charges'!$A:$P,12,FALSE)=0,"",VLOOKUP($A56,'Annex 2 Designated EHV charges'!$A:$P,12,FALSE)),"")</f>
        <v/>
      </c>
    </row>
    <row r="57" spans="1:8" x14ac:dyDescent="0.2">
      <c r="A57" s="53" t="str">
        <f t="array" ref="A57">IFERROR(INDEX('Annex 2 Designated EHV charges'!$A$11:$A$58, MATCH(0, IF(ISBLANK('Annex 2 Designated EHV charges'!$A$11:$A$58),1, COUNTIF(A$4:$A56, 'Annex 2 Designated EHV charges'!$A$11:$A$58)), 0)),"")</f>
        <v/>
      </c>
      <c r="B57" s="53" t="str">
        <f>IF($A57="","",VLOOKUP($A57,'Annex 2 Designated EHV charges'!$A:$O,2,0))</f>
        <v/>
      </c>
      <c r="C57" s="61" t="str">
        <f>IF($A57="","",VLOOKUP($A57,'Annex 2 Designated EHV charges'!$A:$O,3,0))</f>
        <v/>
      </c>
      <c r="D57" s="61" t="str">
        <f>IF($A57="","",VLOOKUP($A57,'Annex 2 Designated EHV charges'!$A:$O,7,0))</f>
        <v/>
      </c>
      <c r="E57" s="62" t="str">
        <f>IFERROR(IF(VLOOKUP($A57,'Annex 2 Designated EHV charges'!$A:$P,9,FALSE)=0,"",VLOOKUP($A57,'Annex 2 Designated EHV charges'!$A:$P,9,FALSE)),"")</f>
        <v/>
      </c>
      <c r="F57" s="208" t="str">
        <f>IFERROR(IF(VLOOKUP($A57,'Annex 2 Designated EHV charges'!$A:$P,10,FALSE)=0,"",VLOOKUP($A57,'Annex 2 Designated EHV charges'!$A:$P,10,FALSE)),"")</f>
        <v/>
      </c>
      <c r="G57" s="63" t="str">
        <f>IFERROR(IF(VLOOKUP($A57,'Annex 2 Designated EHV charges'!$A:$P,11,FALSE)=0,"",VLOOKUP($A57,'Annex 2 Designated EHV charges'!$A:$P,11,FALSE)),"")</f>
        <v/>
      </c>
      <c r="H57" s="53" t="str">
        <f>IFERROR(IF(VLOOKUP($A57,'Annex 2 Designated EHV charges'!$A:$P,12,FALSE)=0,"",VLOOKUP($A57,'Annex 2 Designated EHV charges'!$A:$P,12,FALSE)),"")</f>
        <v/>
      </c>
    </row>
    <row r="58" spans="1:8" x14ac:dyDescent="0.2">
      <c r="A58" s="53" t="str">
        <f t="array" ref="A58">IFERROR(INDEX('Annex 2 Designated EHV charges'!$A$11:$A$58, MATCH(0, IF(ISBLANK('Annex 2 Designated EHV charges'!$A$11:$A$58),1, COUNTIF(A$4:$A57, 'Annex 2 Designated EHV charges'!$A$11:$A$58)), 0)),"")</f>
        <v/>
      </c>
      <c r="B58" s="53" t="str">
        <f>IF($A58="","",VLOOKUP($A58,'Annex 2 Designated EHV charges'!$A:$O,2,0))</f>
        <v/>
      </c>
      <c r="C58" s="61" t="str">
        <f>IF($A58="","",VLOOKUP($A58,'Annex 2 Designated EHV charges'!$A:$O,3,0))</f>
        <v/>
      </c>
      <c r="D58" s="61" t="str">
        <f>IF($A58="","",VLOOKUP($A58,'Annex 2 Designated EHV charges'!$A:$O,7,0))</f>
        <v/>
      </c>
      <c r="E58" s="62" t="str">
        <f>IFERROR(IF(VLOOKUP($A58,'Annex 2 Designated EHV charges'!$A:$P,9,FALSE)=0,"",VLOOKUP($A58,'Annex 2 Designated EHV charges'!$A:$P,9,FALSE)),"")</f>
        <v/>
      </c>
      <c r="F58" s="208" t="str">
        <f>IFERROR(IF(VLOOKUP($A58,'Annex 2 Designated EHV charges'!$A:$P,10,FALSE)=0,"",VLOOKUP($A58,'Annex 2 Designated EHV charges'!$A:$P,10,FALSE)),"")</f>
        <v/>
      </c>
      <c r="G58" s="63" t="str">
        <f>IFERROR(IF(VLOOKUP($A58,'Annex 2 Designated EHV charges'!$A:$P,11,FALSE)=0,"",VLOOKUP($A58,'Annex 2 Designated EHV charges'!$A:$P,11,FALSE)),"")</f>
        <v/>
      </c>
      <c r="H58" s="53" t="str">
        <f>IFERROR(IF(VLOOKUP($A58,'Annex 2 Designated EHV charges'!$A:$P,12,FALSE)=0,"",VLOOKUP($A58,'Annex 2 Designated EHV charges'!$A:$P,12,FALSE)),"")</f>
        <v/>
      </c>
    </row>
    <row r="59" spans="1:8" x14ac:dyDescent="0.2">
      <c r="A59" s="53" t="str">
        <f t="array" ref="A59">IFERROR(INDEX('Annex 2 Designated EHV charges'!$A$11:$A$58, MATCH(0, IF(ISBLANK('Annex 2 Designated EHV charges'!$A$11:$A$58),1, COUNTIF(A$4:$A58, 'Annex 2 Designated EHV charges'!$A$11:$A$58)), 0)),"")</f>
        <v/>
      </c>
      <c r="B59" s="53" t="str">
        <f>IF($A59="","",VLOOKUP($A59,'Annex 2 Designated EHV charges'!$A:$O,2,0))</f>
        <v/>
      </c>
      <c r="C59" s="61" t="str">
        <f>IF($A59="","",VLOOKUP($A59,'Annex 2 Designated EHV charges'!$A:$O,3,0))</f>
        <v/>
      </c>
      <c r="D59" s="61" t="str">
        <f>IF($A59="","",VLOOKUP($A59,'Annex 2 Designated EHV charges'!$A:$O,7,0))</f>
        <v/>
      </c>
      <c r="E59" s="62" t="str">
        <f>IFERROR(IF(VLOOKUP($A59,'Annex 2 Designated EHV charges'!$A:$P,9,FALSE)=0,"",VLOOKUP($A59,'Annex 2 Designated EHV charges'!$A:$P,9,FALSE)),"")</f>
        <v/>
      </c>
      <c r="F59" s="208" t="str">
        <f>IFERROR(IF(VLOOKUP($A59,'Annex 2 Designated EHV charges'!$A:$P,10,FALSE)=0,"",VLOOKUP($A59,'Annex 2 Designated EHV charges'!$A:$P,10,FALSE)),"")</f>
        <v/>
      </c>
      <c r="G59" s="63" t="str">
        <f>IFERROR(IF(VLOOKUP($A59,'Annex 2 Designated EHV charges'!$A:$P,11,FALSE)=0,"",VLOOKUP($A59,'Annex 2 Designated EHV charges'!$A:$P,11,FALSE)),"")</f>
        <v/>
      </c>
      <c r="H59" s="53" t="str">
        <f>IFERROR(IF(VLOOKUP($A59,'Annex 2 Designated EHV charges'!$A:$P,12,FALSE)=0,"",VLOOKUP($A59,'Annex 2 Designated EHV charges'!$A:$P,12,FALSE)),"")</f>
        <v/>
      </c>
    </row>
    <row r="60" spans="1:8" x14ac:dyDescent="0.2">
      <c r="A60" s="53" t="str">
        <f t="array" ref="A60">IFERROR(INDEX('Annex 2 Designated EHV charges'!$A$11:$A$58, MATCH(0, IF(ISBLANK('Annex 2 Designated EHV charges'!$A$11:$A$58),1, COUNTIF(A$4:$A59, 'Annex 2 Designated EHV charges'!$A$11:$A$58)), 0)),"")</f>
        <v/>
      </c>
      <c r="B60" s="53" t="str">
        <f>IF($A60="","",VLOOKUP($A60,'Annex 2 Designated EHV charges'!$A:$O,2,0))</f>
        <v/>
      </c>
      <c r="C60" s="61" t="str">
        <f>IF($A60="","",VLOOKUP($A60,'Annex 2 Designated EHV charges'!$A:$O,3,0))</f>
        <v/>
      </c>
      <c r="D60" s="61" t="str">
        <f>IF($A60="","",VLOOKUP($A60,'Annex 2 Designated EHV charges'!$A:$O,7,0))</f>
        <v/>
      </c>
      <c r="E60" s="62" t="str">
        <f>IFERROR(IF(VLOOKUP($A60,'Annex 2 Designated EHV charges'!$A:$P,9,FALSE)=0,"",VLOOKUP($A60,'Annex 2 Designated EHV charges'!$A:$P,9,FALSE)),"")</f>
        <v/>
      </c>
      <c r="F60" s="208" t="str">
        <f>IFERROR(IF(VLOOKUP($A60,'Annex 2 Designated EHV charges'!$A:$P,10,FALSE)=0,"",VLOOKUP($A60,'Annex 2 Designated EHV charges'!$A:$P,10,FALSE)),"")</f>
        <v/>
      </c>
      <c r="G60" s="63" t="str">
        <f>IFERROR(IF(VLOOKUP($A60,'Annex 2 Designated EHV charges'!$A:$P,11,FALSE)=0,"",VLOOKUP($A60,'Annex 2 Designated EHV charges'!$A:$P,11,FALSE)),"")</f>
        <v/>
      </c>
      <c r="H60" s="53" t="str">
        <f>IFERROR(IF(VLOOKUP($A60,'Annex 2 Designated EHV charges'!$A:$P,12,FALSE)=0,"",VLOOKUP($A60,'Annex 2 Designated EHV charges'!$A:$P,12,FALSE)),"")</f>
        <v/>
      </c>
    </row>
    <row r="61" spans="1:8" x14ac:dyDescent="0.2">
      <c r="A61" s="53" t="str">
        <f t="array" ref="A61">IFERROR(INDEX('Annex 2 Designated EHV charges'!$A$11:$A$58, MATCH(0, IF(ISBLANK('Annex 2 Designated EHV charges'!$A$11:$A$58),1, COUNTIF(A$4:$A60, 'Annex 2 Designated EHV charges'!$A$11:$A$58)), 0)),"")</f>
        <v/>
      </c>
      <c r="B61" s="53" t="str">
        <f>IF($A61="","",VLOOKUP($A61,'Annex 2 Designated EHV charges'!$A:$O,2,0))</f>
        <v/>
      </c>
      <c r="C61" s="61" t="str">
        <f>IF($A61="","",VLOOKUP($A61,'Annex 2 Designated EHV charges'!$A:$O,3,0))</f>
        <v/>
      </c>
      <c r="D61" s="61" t="str">
        <f>IF($A61="","",VLOOKUP($A61,'Annex 2 Designated EHV charges'!$A:$O,7,0))</f>
        <v/>
      </c>
      <c r="E61" s="62" t="str">
        <f>IFERROR(IF(VLOOKUP($A61,'Annex 2 Designated EHV charges'!$A:$P,9,FALSE)=0,"",VLOOKUP($A61,'Annex 2 Designated EHV charges'!$A:$P,9,FALSE)),"")</f>
        <v/>
      </c>
      <c r="F61" s="208" t="str">
        <f>IFERROR(IF(VLOOKUP($A61,'Annex 2 Designated EHV charges'!$A:$P,10,FALSE)=0,"",VLOOKUP($A61,'Annex 2 Designated EHV charges'!$A:$P,10,FALSE)),"")</f>
        <v/>
      </c>
      <c r="G61" s="63" t="str">
        <f>IFERROR(IF(VLOOKUP($A61,'Annex 2 Designated EHV charges'!$A:$P,11,FALSE)=0,"",VLOOKUP($A61,'Annex 2 Designated EHV charges'!$A:$P,11,FALSE)),"")</f>
        <v/>
      </c>
      <c r="H61" s="53" t="str">
        <f>IFERROR(IF(VLOOKUP($A61,'Annex 2 Designated EHV charges'!$A:$P,12,FALSE)=0,"",VLOOKUP($A61,'Annex 2 Designated EHV charges'!$A:$P,12,FALSE)),"")</f>
        <v/>
      </c>
    </row>
    <row r="62" spans="1:8" x14ac:dyDescent="0.2">
      <c r="A62" s="53" t="str">
        <f t="array" ref="A62">IFERROR(INDEX('Annex 2 Designated EHV charges'!$A$11:$A$58, MATCH(0, IF(ISBLANK('Annex 2 Designated EHV charges'!$A$11:$A$58),1, COUNTIF(A$4:$A61, 'Annex 2 Designated EHV charges'!$A$11:$A$58)), 0)),"")</f>
        <v/>
      </c>
      <c r="B62" s="53" t="str">
        <f>IF($A62="","",VLOOKUP($A62,'Annex 2 Designated EHV charges'!$A:$O,2,0))</f>
        <v/>
      </c>
      <c r="C62" s="61" t="str">
        <f>IF($A62="","",VLOOKUP($A62,'Annex 2 Designated EHV charges'!$A:$O,3,0))</f>
        <v/>
      </c>
      <c r="D62" s="61" t="str">
        <f>IF($A62="","",VLOOKUP($A62,'Annex 2 Designated EHV charges'!$A:$O,7,0))</f>
        <v/>
      </c>
      <c r="E62" s="62" t="str">
        <f>IFERROR(IF(VLOOKUP($A62,'Annex 2 Designated EHV charges'!$A:$P,9,FALSE)=0,"",VLOOKUP($A62,'Annex 2 Designated EHV charges'!$A:$P,9,FALSE)),"")</f>
        <v/>
      </c>
      <c r="F62" s="208" t="str">
        <f>IFERROR(IF(VLOOKUP($A62,'Annex 2 Designated EHV charges'!$A:$P,10,FALSE)=0,"",VLOOKUP($A62,'Annex 2 Designated EHV charges'!$A:$P,10,FALSE)),"")</f>
        <v/>
      </c>
      <c r="G62" s="63" t="str">
        <f>IFERROR(IF(VLOOKUP($A62,'Annex 2 Designated EHV charges'!$A:$P,11,FALSE)=0,"",VLOOKUP($A62,'Annex 2 Designated EHV charges'!$A:$P,11,FALSE)),"")</f>
        <v/>
      </c>
      <c r="H62" s="53" t="str">
        <f>IFERROR(IF(VLOOKUP($A62,'Annex 2 Designated EHV charges'!$A:$P,12,FALSE)=0,"",VLOOKUP($A62,'Annex 2 Designated EHV charges'!$A:$P,12,FALSE)),"")</f>
        <v/>
      </c>
    </row>
    <row r="63" spans="1:8" x14ac:dyDescent="0.2">
      <c r="A63" s="53" t="str">
        <f t="array" ref="A63">IFERROR(INDEX('Annex 2 Designated EHV charges'!$A$11:$A$58, MATCH(0, IF(ISBLANK('Annex 2 Designated EHV charges'!$A$11:$A$58),1, COUNTIF(A$4:$A62, 'Annex 2 Designated EHV charges'!$A$11:$A$58)), 0)),"")</f>
        <v/>
      </c>
      <c r="B63" s="53" t="str">
        <f>IF($A63="","",VLOOKUP($A63,'Annex 2 Designated EHV charges'!$A:$O,2,0))</f>
        <v/>
      </c>
      <c r="C63" s="61" t="str">
        <f>IF($A63="","",VLOOKUP($A63,'Annex 2 Designated EHV charges'!$A:$O,3,0))</f>
        <v/>
      </c>
      <c r="D63" s="61" t="str">
        <f>IF($A63="","",VLOOKUP($A63,'Annex 2 Designated EHV charges'!$A:$O,7,0))</f>
        <v/>
      </c>
      <c r="E63" s="62" t="str">
        <f>IFERROR(IF(VLOOKUP($A63,'Annex 2 Designated EHV charges'!$A:$P,9,FALSE)=0,"",VLOOKUP($A63,'Annex 2 Designated EHV charges'!$A:$P,9,FALSE)),"")</f>
        <v/>
      </c>
      <c r="F63" s="208" t="str">
        <f>IFERROR(IF(VLOOKUP($A63,'Annex 2 Designated EHV charges'!$A:$P,10,FALSE)=0,"",VLOOKUP($A63,'Annex 2 Designated EHV charges'!$A:$P,10,FALSE)),"")</f>
        <v/>
      </c>
      <c r="G63" s="63" t="str">
        <f>IFERROR(IF(VLOOKUP($A63,'Annex 2 Designated EHV charges'!$A:$P,11,FALSE)=0,"",VLOOKUP($A63,'Annex 2 Designated EHV charges'!$A:$P,11,FALSE)),"")</f>
        <v/>
      </c>
      <c r="H63" s="53" t="str">
        <f>IFERROR(IF(VLOOKUP($A63,'Annex 2 Designated EHV charges'!$A:$P,12,FALSE)=0,"",VLOOKUP($A63,'Annex 2 Designated EHV charges'!$A:$P,12,FALSE)),"")</f>
        <v/>
      </c>
    </row>
    <row r="64" spans="1:8" x14ac:dyDescent="0.2">
      <c r="A64" s="53" t="str">
        <f t="array" ref="A64">IFERROR(INDEX('Annex 2 Designated EHV charges'!$A$11:$A$58, MATCH(0, IF(ISBLANK('Annex 2 Designated EHV charges'!$A$11:$A$58),1, COUNTIF(A$4:$A63, 'Annex 2 Designated EHV charges'!$A$11:$A$58)), 0)),"")</f>
        <v/>
      </c>
      <c r="B64" s="53" t="str">
        <f>IF($A64="","",VLOOKUP($A64,'Annex 2 Designated EHV charges'!$A:$O,2,0))</f>
        <v/>
      </c>
      <c r="C64" s="61" t="str">
        <f>IF($A64="","",VLOOKUP($A64,'Annex 2 Designated EHV charges'!$A:$O,3,0))</f>
        <v/>
      </c>
      <c r="D64" s="61" t="str">
        <f>IF($A64="","",VLOOKUP($A64,'Annex 2 Designated EHV charges'!$A:$O,7,0))</f>
        <v/>
      </c>
      <c r="E64" s="62" t="str">
        <f>IFERROR(IF(VLOOKUP($A64,'Annex 2 Designated EHV charges'!$A:$P,9,FALSE)=0,"",VLOOKUP($A64,'Annex 2 Designated EHV charges'!$A:$P,9,FALSE)),"")</f>
        <v/>
      </c>
      <c r="F64" s="208" t="str">
        <f>IFERROR(IF(VLOOKUP($A64,'Annex 2 Designated EHV charges'!$A:$P,10,FALSE)=0,"",VLOOKUP($A64,'Annex 2 Designated EHV charges'!$A:$P,10,FALSE)),"")</f>
        <v/>
      </c>
      <c r="G64" s="63" t="str">
        <f>IFERROR(IF(VLOOKUP($A64,'Annex 2 Designated EHV charges'!$A:$P,11,FALSE)=0,"",VLOOKUP($A64,'Annex 2 Designated EHV charges'!$A:$P,11,FALSE)),"")</f>
        <v/>
      </c>
      <c r="H64" s="53" t="str">
        <f>IFERROR(IF(VLOOKUP($A64,'Annex 2 Designated EHV charges'!$A:$P,12,FALSE)=0,"",VLOOKUP($A64,'Annex 2 Designated EHV charges'!$A:$P,12,FALSE)),"")</f>
        <v/>
      </c>
    </row>
    <row r="65" spans="1:8" x14ac:dyDescent="0.2">
      <c r="A65" s="53" t="str">
        <f t="array" ref="A65">IFERROR(INDEX('Annex 2 Designated EHV charges'!$A$11:$A$58, MATCH(0, IF(ISBLANK('Annex 2 Designated EHV charges'!$A$11:$A$58),1, COUNTIF(A$4:$A64, 'Annex 2 Designated EHV charges'!$A$11:$A$58)), 0)),"")</f>
        <v/>
      </c>
      <c r="B65" s="53" t="str">
        <f>IF($A65="","",VLOOKUP($A65,'Annex 2 Designated EHV charges'!$A:$O,2,0))</f>
        <v/>
      </c>
      <c r="C65" s="61" t="str">
        <f>IF($A65="","",VLOOKUP($A65,'Annex 2 Designated EHV charges'!$A:$O,3,0))</f>
        <v/>
      </c>
      <c r="D65" s="61" t="str">
        <f>IF($A65="","",VLOOKUP($A65,'Annex 2 Designated EHV charges'!$A:$O,7,0))</f>
        <v/>
      </c>
      <c r="E65" s="62" t="str">
        <f>IFERROR(IF(VLOOKUP($A65,'Annex 2 Designated EHV charges'!$A:$P,9,FALSE)=0,"",VLOOKUP($A65,'Annex 2 Designated EHV charges'!$A:$P,9,FALSE)),"")</f>
        <v/>
      </c>
      <c r="F65" s="208" t="str">
        <f>IFERROR(IF(VLOOKUP($A65,'Annex 2 Designated EHV charges'!$A:$P,10,FALSE)=0,"",VLOOKUP($A65,'Annex 2 Designated EHV charges'!$A:$P,10,FALSE)),"")</f>
        <v/>
      </c>
      <c r="G65" s="63" t="str">
        <f>IFERROR(IF(VLOOKUP($A65,'Annex 2 Designated EHV charges'!$A:$P,11,FALSE)=0,"",VLOOKUP($A65,'Annex 2 Designated EHV charges'!$A:$P,11,FALSE)),"")</f>
        <v/>
      </c>
      <c r="H65" s="53" t="str">
        <f>IFERROR(IF(VLOOKUP($A65,'Annex 2 Designated EHV charges'!$A:$P,12,FALSE)=0,"",VLOOKUP($A65,'Annex 2 Designated EHV charges'!$A:$P,12,FALSE)),"")</f>
        <v/>
      </c>
    </row>
    <row r="66" spans="1:8" x14ac:dyDescent="0.2">
      <c r="A66" s="53" t="str">
        <f t="array" ref="A66">IFERROR(INDEX('Annex 2 Designated EHV charges'!$A$11:$A$58, MATCH(0, IF(ISBLANK('Annex 2 Designated EHV charges'!$A$11:$A$58),1, COUNTIF(A$4:$A65, 'Annex 2 Designated EHV charges'!$A$11:$A$58)), 0)),"")</f>
        <v/>
      </c>
      <c r="B66" s="53" t="str">
        <f>IF($A66="","",VLOOKUP($A66,'Annex 2 Designated EHV charges'!$A:$O,2,0))</f>
        <v/>
      </c>
      <c r="C66" s="61" t="str">
        <f>IF($A66="","",VLOOKUP($A66,'Annex 2 Designated EHV charges'!$A:$O,3,0))</f>
        <v/>
      </c>
      <c r="D66" s="61" t="str">
        <f>IF($A66="","",VLOOKUP($A66,'Annex 2 Designated EHV charges'!$A:$O,7,0))</f>
        <v/>
      </c>
      <c r="E66" s="62" t="str">
        <f>IFERROR(IF(VLOOKUP($A66,'Annex 2 Designated EHV charges'!$A:$P,9,FALSE)=0,"",VLOOKUP($A66,'Annex 2 Designated EHV charges'!$A:$P,9,FALSE)),"")</f>
        <v/>
      </c>
      <c r="F66" s="208" t="str">
        <f>IFERROR(IF(VLOOKUP($A66,'Annex 2 Designated EHV charges'!$A:$P,10,FALSE)=0,"",VLOOKUP($A66,'Annex 2 Designated EHV charges'!$A:$P,10,FALSE)),"")</f>
        <v/>
      </c>
      <c r="G66" s="63" t="str">
        <f>IFERROR(IF(VLOOKUP($A66,'Annex 2 Designated EHV charges'!$A:$P,11,FALSE)=0,"",VLOOKUP($A66,'Annex 2 Designated EHV charges'!$A:$P,11,FALSE)),"")</f>
        <v/>
      </c>
      <c r="H66" s="53" t="str">
        <f>IFERROR(IF(VLOOKUP($A66,'Annex 2 Designated EHV charges'!$A:$P,12,FALSE)=0,"",VLOOKUP($A66,'Annex 2 Designated EHV charges'!$A:$P,12,FALSE)),"")</f>
        <v/>
      </c>
    </row>
    <row r="67" spans="1:8" x14ac:dyDescent="0.2">
      <c r="A67" s="53" t="str">
        <f t="array" ref="A67">IFERROR(INDEX('Annex 2 Designated EHV charges'!$A$11:$A$58, MATCH(0, IF(ISBLANK('Annex 2 Designated EHV charges'!$A$11:$A$58),1, COUNTIF(A$4:$A66, 'Annex 2 Designated EHV charges'!$A$11:$A$58)), 0)),"")</f>
        <v/>
      </c>
      <c r="B67" s="53" t="str">
        <f>IF($A67="","",VLOOKUP($A67,'Annex 2 Designated EHV charges'!$A:$O,2,0))</f>
        <v/>
      </c>
      <c r="C67" s="61" t="str">
        <f>IF($A67="","",VLOOKUP($A67,'Annex 2 Designated EHV charges'!$A:$O,3,0))</f>
        <v/>
      </c>
      <c r="D67" s="61" t="str">
        <f>IF($A67="","",VLOOKUP($A67,'Annex 2 Designated EHV charges'!$A:$O,7,0))</f>
        <v/>
      </c>
      <c r="E67" s="62" t="str">
        <f>IFERROR(IF(VLOOKUP($A67,'Annex 2 Designated EHV charges'!$A:$P,9,FALSE)=0,"",VLOOKUP($A67,'Annex 2 Designated EHV charges'!$A:$P,9,FALSE)),"")</f>
        <v/>
      </c>
      <c r="F67" s="208" t="str">
        <f>IFERROR(IF(VLOOKUP($A67,'Annex 2 Designated EHV charges'!$A:$P,10,FALSE)=0,"",VLOOKUP($A67,'Annex 2 Designated EHV charges'!$A:$P,10,FALSE)),"")</f>
        <v/>
      </c>
      <c r="G67" s="63" t="str">
        <f>IFERROR(IF(VLOOKUP($A67,'Annex 2 Designated EHV charges'!$A:$P,11,FALSE)=0,"",VLOOKUP($A67,'Annex 2 Designated EHV charges'!$A:$P,11,FALSE)),"")</f>
        <v/>
      </c>
      <c r="H67" s="53" t="str">
        <f>IFERROR(IF(VLOOKUP($A67,'Annex 2 Designated EHV charges'!$A:$P,12,FALSE)=0,"",VLOOKUP($A67,'Annex 2 Designated EHV charges'!$A:$P,12,FALSE)),"")</f>
        <v/>
      </c>
    </row>
    <row r="68" spans="1:8" x14ac:dyDescent="0.2">
      <c r="A68" s="53" t="str">
        <f t="array" ref="A68">IFERROR(INDEX('Annex 2 Designated EHV charges'!$A$11:$A$58, MATCH(0, IF(ISBLANK('Annex 2 Designated EHV charges'!$A$11:$A$58),1, COUNTIF(A$4:$A67, 'Annex 2 Designated EHV charges'!$A$11:$A$58)), 0)),"")</f>
        <v/>
      </c>
      <c r="B68" s="53" t="str">
        <f>IF($A68="","",VLOOKUP($A68,'Annex 2 Designated EHV charges'!$A:$O,2,0))</f>
        <v/>
      </c>
      <c r="C68" s="61" t="str">
        <f>IF($A68="","",VLOOKUP($A68,'Annex 2 Designated EHV charges'!$A:$O,3,0))</f>
        <v/>
      </c>
      <c r="D68" s="61" t="str">
        <f>IF($A68="","",VLOOKUP($A68,'Annex 2 Designated EHV charges'!$A:$O,7,0))</f>
        <v/>
      </c>
      <c r="E68" s="62" t="str">
        <f>IFERROR(IF(VLOOKUP($A68,'Annex 2 Designated EHV charges'!$A:$P,9,FALSE)=0,"",VLOOKUP($A68,'Annex 2 Designated EHV charges'!$A:$P,9,FALSE)),"")</f>
        <v/>
      </c>
      <c r="F68" s="208" t="str">
        <f>IFERROR(IF(VLOOKUP($A68,'Annex 2 Designated EHV charges'!$A:$P,10,FALSE)=0,"",VLOOKUP($A68,'Annex 2 Designated EHV charges'!$A:$P,10,FALSE)),"")</f>
        <v/>
      </c>
      <c r="G68" s="63" t="str">
        <f>IFERROR(IF(VLOOKUP($A68,'Annex 2 Designated EHV charges'!$A:$P,11,FALSE)=0,"",VLOOKUP($A68,'Annex 2 Designated EHV charges'!$A:$P,11,FALSE)),"")</f>
        <v/>
      </c>
      <c r="H68" s="53" t="str">
        <f>IFERROR(IF(VLOOKUP($A68,'Annex 2 Designated EHV charges'!$A:$P,12,FALSE)=0,"",VLOOKUP($A68,'Annex 2 Designated EHV charges'!$A:$P,12,FALSE)),"")</f>
        <v/>
      </c>
    </row>
    <row r="69" spans="1:8" x14ac:dyDescent="0.2">
      <c r="A69" s="53" t="str">
        <f t="array" ref="A69">IFERROR(INDEX('Annex 2 Designated EHV charges'!$A$11:$A$58, MATCH(0, IF(ISBLANK('Annex 2 Designated EHV charges'!$A$11:$A$58),1, COUNTIF(A$4:$A68, 'Annex 2 Designated EHV charges'!$A$11:$A$58)), 0)),"")</f>
        <v/>
      </c>
      <c r="B69" s="53" t="str">
        <f>IF($A69="","",VLOOKUP($A69,'Annex 2 Designated EHV charges'!$A:$O,2,0))</f>
        <v/>
      </c>
      <c r="C69" s="61" t="str">
        <f>IF($A69="","",VLOOKUP($A69,'Annex 2 Designated EHV charges'!$A:$O,3,0))</f>
        <v/>
      </c>
      <c r="D69" s="61" t="str">
        <f>IF($A69="","",VLOOKUP($A69,'Annex 2 Designated EHV charges'!$A:$O,7,0))</f>
        <v/>
      </c>
      <c r="E69" s="62" t="str">
        <f>IFERROR(IF(VLOOKUP($A69,'Annex 2 Designated EHV charges'!$A:$P,9,FALSE)=0,"",VLOOKUP($A69,'Annex 2 Designated EHV charges'!$A:$P,9,FALSE)),"")</f>
        <v/>
      </c>
      <c r="F69" s="208" t="str">
        <f>IFERROR(IF(VLOOKUP($A69,'Annex 2 Designated EHV charges'!$A:$P,10,FALSE)=0,"",VLOOKUP($A69,'Annex 2 Designated EHV charges'!$A:$P,10,FALSE)),"")</f>
        <v/>
      </c>
      <c r="G69" s="63" t="str">
        <f>IFERROR(IF(VLOOKUP($A69,'Annex 2 Designated EHV charges'!$A:$P,11,FALSE)=0,"",VLOOKUP($A69,'Annex 2 Designated EHV charges'!$A:$P,11,FALSE)),"")</f>
        <v/>
      </c>
      <c r="H69" s="53" t="str">
        <f>IFERROR(IF(VLOOKUP($A69,'Annex 2 Designated EHV charges'!$A:$P,12,FALSE)=0,"",VLOOKUP($A69,'Annex 2 Designated EHV charges'!$A:$P,12,FALSE)),"")</f>
        <v/>
      </c>
    </row>
    <row r="70" spans="1:8" x14ac:dyDescent="0.2">
      <c r="A70" s="53" t="str">
        <f t="array" ref="A70">IFERROR(INDEX('Annex 2 Designated EHV charges'!$A$11:$A$58, MATCH(0, IF(ISBLANK('Annex 2 Designated EHV charges'!$A$11:$A$58),1, COUNTIF(A$4:$A69, 'Annex 2 Designated EHV charges'!$A$11:$A$58)), 0)),"")</f>
        <v/>
      </c>
      <c r="B70" s="53" t="str">
        <f>IF($A70="","",VLOOKUP($A70,'Annex 2 Designated EHV charges'!$A:$O,2,0))</f>
        <v/>
      </c>
      <c r="C70" s="61" t="str">
        <f>IF($A70="","",VLOOKUP($A70,'Annex 2 Designated EHV charges'!$A:$O,3,0))</f>
        <v/>
      </c>
      <c r="D70" s="61" t="str">
        <f>IF($A70="","",VLOOKUP($A70,'Annex 2 Designated EHV charges'!$A:$O,7,0))</f>
        <v/>
      </c>
      <c r="E70" s="62" t="str">
        <f>IFERROR(IF(VLOOKUP($A70,'Annex 2 Designated EHV charges'!$A:$P,9,FALSE)=0,"",VLOOKUP($A70,'Annex 2 Designated EHV charges'!$A:$P,9,FALSE)),"")</f>
        <v/>
      </c>
      <c r="F70" s="208" t="str">
        <f>IFERROR(IF(VLOOKUP($A70,'Annex 2 Designated EHV charges'!$A:$P,10,FALSE)=0,"",VLOOKUP($A70,'Annex 2 Designated EHV charges'!$A:$P,10,FALSE)),"")</f>
        <v/>
      </c>
      <c r="G70" s="63" t="str">
        <f>IFERROR(IF(VLOOKUP($A70,'Annex 2 Designated EHV charges'!$A:$P,11,FALSE)=0,"",VLOOKUP($A70,'Annex 2 Designated EHV charges'!$A:$P,11,FALSE)),"")</f>
        <v/>
      </c>
      <c r="H70" s="53" t="str">
        <f>IFERROR(IF(VLOOKUP($A70,'Annex 2 Designated EHV charges'!$A:$P,12,FALSE)=0,"",VLOOKUP($A70,'Annex 2 Designated EHV charges'!$A:$P,12,FALSE)),"")</f>
        <v/>
      </c>
    </row>
    <row r="71" spans="1:8" x14ac:dyDescent="0.2">
      <c r="A71" s="53" t="str">
        <f t="array" ref="A71">IFERROR(INDEX('Annex 2 Designated EHV charges'!$A$11:$A$58, MATCH(0, IF(ISBLANK('Annex 2 Designated EHV charges'!$A$11:$A$58),1, COUNTIF(A$4:$A70, 'Annex 2 Designated EHV charges'!$A$11:$A$58)), 0)),"")</f>
        <v/>
      </c>
      <c r="B71" s="53" t="str">
        <f>IF($A71="","",VLOOKUP($A71,'Annex 2 Designated EHV charges'!$A:$O,2,0))</f>
        <v/>
      </c>
      <c r="C71" s="61" t="str">
        <f>IF($A71="","",VLOOKUP($A71,'Annex 2 Designated EHV charges'!$A:$O,3,0))</f>
        <v/>
      </c>
      <c r="D71" s="61" t="str">
        <f>IF($A71="","",VLOOKUP($A71,'Annex 2 Designated EHV charges'!$A:$O,7,0))</f>
        <v/>
      </c>
      <c r="E71" s="62" t="str">
        <f>IFERROR(IF(VLOOKUP($A71,'Annex 2 Designated EHV charges'!$A:$P,9,FALSE)=0,"",VLOOKUP($A71,'Annex 2 Designated EHV charges'!$A:$P,9,FALSE)),"")</f>
        <v/>
      </c>
      <c r="F71" s="208" t="str">
        <f>IFERROR(IF(VLOOKUP($A71,'Annex 2 Designated EHV charges'!$A:$P,10,FALSE)=0,"",VLOOKUP($A71,'Annex 2 Designated EHV charges'!$A:$P,10,FALSE)),"")</f>
        <v/>
      </c>
      <c r="G71" s="63" t="str">
        <f>IFERROR(IF(VLOOKUP($A71,'Annex 2 Designated EHV charges'!$A:$P,11,FALSE)=0,"",VLOOKUP($A71,'Annex 2 Designated EHV charges'!$A:$P,11,FALSE)),"")</f>
        <v/>
      </c>
      <c r="H71" s="53" t="str">
        <f>IFERROR(IF(VLOOKUP($A71,'Annex 2 Designated EHV charges'!$A:$P,12,FALSE)=0,"",VLOOKUP($A71,'Annex 2 Designated EHV charges'!$A:$P,12,FALSE)),"")</f>
        <v/>
      </c>
    </row>
    <row r="72" spans="1:8" x14ac:dyDescent="0.2">
      <c r="A72" s="53" t="str">
        <f t="array" ref="A72">IFERROR(INDEX('Annex 2 Designated EHV charges'!$A$11:$A$58, MATCH(0, IF(ISBLANK('Annex 2 Designated EHV charges'!$A$11:$A$58),1, COUNTIF(A$4:$A71, 'Annex 2 Designated EHV charges'!$A$11:$A$58)), 0)),"")</f>
        <v/>
      </c>
      <c r="B72" s="53" t="str">
        <f>IF($A72="","",VLOOKUP($A72,'Annex 2 Designated EHV charges'!$A:$O,2,0))</f>
        <v/>
      </c>
      <c r="C72" s="61" t="str">
        <f>IF($A72="","",VLOOKUP($A72,'Annex 2 Designated EHV charges'!$A:$O,3,0))</f>
        <v/>
      </c>
      <c r="D72" s="61" t="str">
        <f>IF($A72="","",VLOOKUP($A72,'Annex 2 Designated EHV charges'!$A:$O,7,0))</f>
        <v/>
      </c>
      <c r="E72" s="62" t="str">
        <f>IFERROR(IF(VLOOKUP($A72,'Annex 2 Designated EHV charges'!$A:$P,9,FALSE)=0,"",VLOOKUP($A72,'Annex 2 Designated EHV charges'!$A:$P,9,FALSE)),"")</f>
        <v/>
      </c>
      <c r="F72" s="208" t="str">
        <f>IFERROR(IF(VLOOKUP($A72,'Annex 2 Designated EHV charges'!$A:$P,10,FALSE)=0,"",VLOOKUP($A72,'Annex 2 Designated EHV charges'!$A:$P,10,FALSE)),"")</f>
        <v/>
      </c>
      <c r="G72" s="63" t="str">
        <f>IFERROR(IF(VLOOKUP($A72,'Annex 2 Designated EHV charges'!$A:$P,11,FALSE)=0,"",VLOOKUP($A72,'Annex 2 Designated EHV charges'!$A:$P,11,FALSE)),"")</f>
        <v/>
      </c>
      <c r="H72" s="53" t="str">
        <f>IFERROR(IF(VLOOKUP($A72,'Annex 2 Designated EHV charges'!$A:$P,12,FALSE)=0,"",VLOOKUP($A72,'Annex 2 Designated EHV charges'!$A:$P,12,FALSE)),"")</f>
        <v/>
      </c>
    </row>
    <row r="73" spans="1:8" x14ac:dyDescent="0.2">
      <c r="A73" s="53" t="str">
        <f t="array" ref="A73">IFERROR(INDEX('Annex 2 Designated EHV charges'!$A$11:$A$58, MATCH(0, IF(ISBLANK('Annex 2 Designated EHV charges'!$A$11:$A$58),1, COUNTIF(A$4:$A72, 'Annex 2 Designated EHV charges'!$A$11:$A$58)), 0)),"")</f>
        <v/>
      </c>
      <c r="B73" s="53" t="str">
        <f>IF($A73="","",VLOOKUP($A73,'Annex 2 Designated EHV charges'!$A:$O,2,0))</f>
        <v/>
      </c>
      <c r="C73" s="61" t="str">
        <f>IF($A73="","",VLOOKUP($A73,'Annex 2 Designated EHV charges'!$A:$O,3,0))</f>
        <v/>
      </c>
      <c r="D73" s="61" t="str">
        <f>IF($A73="","",VLOOKUP($A73,'Annex 2 Designated EHV charges'!$A:$O,7,0))</f>
        <v/>
      </c>
      <c r="E73" s="62" t="str">
        <f>IFERROR(IF(VLOOKUP($A73,'Annex 2 Designated EHV charges'!$A:$P,9,FALSE)=0,"",VLOOKUP($A73,'Annex 2 Designated EHV charges'!$A:$P,9,FALSE)),"")</f>
        <v/>
      </c>
      <c r="F73" s="208" t="str">
        <f>IFERROR(IF(VLOOKUP($A73,'Annex 2 Designated EHV charges'!$A:$P,10,FALSE)=0,"",VLOOKUP($A73,'Annex 2 Designated EHV charges'!$A:$P,10,FALSE)),"")</f>
        <v/>
      </c>
      <c r="G73" s="63" t="str">
        <f>IFERROR(IF(VLOOKUP($A73,'Annex 2 Designated EHV charges'!$A:$P,11,FALSE)=0,"",VLOOKUP($A73,'Annex 2 Designated EHV charges'!$A:$P,11,FALSE)),"")</f>
        <v/>
      </c>
      <c r="H73" s="53" t="str">
        <f>IFERROR(IF(VLOOKUP($A73,'Annex 2 Designated EHV charges'!$A:$P,12,FALSE)=0,"",VLOOKUP($A73,'Annex 2 Designated EHV charges'!$A:$P,12,FALSE)),"")</f>
        <v/>
      </c>
    </row>
    <row r="74" spans="1:8" x14ac:dyDescent="0.2">
      <c r="A74" s="53" t="str">
        <f t="array" ref="A74">IFERROR(INDEX('Annex 2 Designated EHV charges'!$A$11:$A$58, MATCH(0, IF(ISBLANK('Annex 2 Designated EHV charges'!$A$11:$A$58),1, COUNTIF(A$4:$A73, 'Annex 2 Designated EHV charges'!$A$11:$A$58)), 0)),"")</f>
        <v/>
      </c>
      <c r="B74" s="53" t="str">
        <f>IF($A74="","",VLOOKUP($A74,'Annex 2 Designated EHV charges'!$A:$O,2,0))</f>
        <v/>
      </c>
      <c r="C74" s="61" t="str">
        <f>IF($A74="","",VLOOKUP($A74,'Annex 2 Designated EHV charges'!$A:$O,3,0))</f>
        <v/>
      </c>
      <c r="D74" s="61" t="str">
        <f>IF($A74="","",VLOOKUP($A74,'Annex 2 Designated EHV charges'!$A:$O,7,0))</f>
        <v/>
      </c>
      <c r="E74" s="62" t="str">
        <f>IFERROR(IF(VLOOKUP($A74,'Annex 2 Designated EHV charges'!$A:$P,9,FALSE)=0,"",VLOOKUP($A74,'Annex 2 Designated EHV charges'!$A:$P,9,FALSE)),"")</f>
        <v/>
      </c>
      <c r="F74" s="208" t="str">
        <f>IFERROR(IF(VLOOKUP($A74,'Annex 2 Designated EHV charges'!$A:$P,10,FALSE)=0,"",VLOOKUP($A74,'Annex 2 Designated EHV charges'!$A:$P,10,FALSE)),"")</f>
        <v/>
      </c>
      <c r="G74" s="63" t="str">
        <f>IFERROR(IF(VLOOKUP($A74,'Annex 2 Designated EHV charges'!$A:$P,11,FALSE)=0,"",VLOOKUP($A74,'Annex 2 Designated EHV charges'!$A:$P,11,FALSE)),"")</f>
        <v/>
      </c>
      <c r="H74" s="53" t="str">
        <f>IFERROR(IF(VLOOKUP($A74,'Annex 2 Designated EHV charges'!$A:$P,12,FALSE)=0,"",VLOOKUP($A74,'Annex 2 Designated EHV charges'!$A:$P,12,FALSE)),"")</f>
        <v/>
      </c>
    </row>
    <row r="75" spans="1:8" x14ac:dyDescent="0.2">
      <c r="A75" s="53" t="str">
        <f t="array" ref="A75">IFERROR(INDEX('Annex 2 Designated EHV charges'!$A$11:$A$58, MATCH(0, IF(ISBLANK('Annex 2 Designated EHV charges'!$A$11:$A$58),1, COUNTIF(A$4:$A74, 'Annex 2 Designated EHV charges'!$A$11:$A$58)), 0)),"")</f>
        <v/>
      </c>
      <c r="B75" s="53" t="str">
        <f>IF($A75="","",VLOOKUP($A75,'Annex 2 Designated EHV charges'!$A:$O,2,0))</f>
        <v/>
      </c>
      <c r="C75" s="61" t="str">
        <f>IF($A75="","",VLOOKUP($A75,'Annex 2 Designated EHV charges'!$A:$O,3,0))</f>
        <v/>
      </c>
      <c r="D75" s="61" t="str">
        <f>IF($A75="","",VLOOKUP($A75,'Annex 2 Designated EHV charges'!$A:$O,7,0))</f>
        <v/>
      </c>
      <c r="E75" s="62" t="str">
        <f>IFERROR(IF(VLOOKUP($A75,'Annex 2 Designated EHV charges'!$A:$P,9,FALSE)=0,"",VLOOKUP($A75,'Annex 2 Designated EHV charges'!$A:$P,9,FALSE)),"")</f>
        <v/>
      </c>
      <c r="F75" s="208" t="str">
        <f>IFERROR(IF(VLOOKUP($A75,'Annex 2 Designated EHV charges'!$A:$P,10,FALSE)=0,"",VLOOKUP($A75,'Annex 2 Designated EHV charges'!$A:$P,10,FALSE)),"")</f>
        <v/>
      </c>
      <c r="G75" s="63" t="str">
        <f>IFERROR(IF(VLOOKUP($A75,'Annex 2 Designated EHV charges'!$A:$P,11,FALSE)=0,"",VLOOKUP($A75,'Annex 2 Designated EHV charges'!$A:$P,11,FALSE)),"")</f>
        <v/>
      </c>
      <c r="H75" s="53" t="str">
        <f>IFERROR(IF(VLOOKUP($A75,'Annex 2 Designated EHV charges'!$A:$P,12,FALSE)=0,"",VLOOKUP($A75,'Annex 2 Designated EHV charges'!$A:$P,12,FALSE)),"")</f>
        <v/>
      </c>
    </row>
    <row r="76" spans="1:8" x14ac:dyDescent="0.2">
      <c r="A76" s="53" t="str">
        <f t="array" ref="A76">IFERROR(INDEX('Annex 2 Designated EHV charges'!$A$11:$A$58, MATCH(0, IF(ISBLANK('Annex 2 Designated EHV charges'!$A$11:$A$58),1, COUNTIF(A$4:$A75, 'Annex 2 Designated EHV charges'!$A$11:$A$58)), 0)),"")</f>
        <v/>
      </c>
      <c r="B76" s="53" t="str">
        <f>IF($A76="","",VLOOKUP($A76,'Annex 2 Designated EHV charges'!$A:$O,2,0))</f>
        <v/>
      </c>
      <c r="C76" s="61" t="str">
        <f>IF($A76="","",VLOOKUP($A76,'Annex 2 Designated EHV charges'!$A:$O,3,0))</f>
        <v/>
      </c>
      <c r="D76" s="61" t="str">
        <f>IF($A76="","",VLOOKUP($A76,'Annex 2 Designated EHV charges'!$A:$O,7,0))</f>
        <v/>
      </c>
      <c r="E76" s="62" t="str">
        <f>IFERROR(IF(VLOOKUP($A76,'Annex 2 Designated EHV charges'!$A:$P,9,FALSE)=0,"",VLOOKUP($A76,'Annex 2 Designated EHV charges'!$A:$P,9,FALSE)),"")</f>
        <v/>
      </c>
      <c r="F76" s="208" t="str">
        <f>IFERROR(IF(VLOOKUP($A76,'Annex 2 Designated EHV charges'!$A:$P,10,FALSE)=0,"",VLOOKUP($A76,'Annex 2 Designated EHV charges'!$A:$P,10,FALSE)),"")</f>
        <v/>
      </c>
      <c r="G76" s="63" t="str">
        <f>IFERROR(IF(VLOOKUP($A76,'Annex 2 Designated EHV charges'!$A:$P,11,FALSE)=0,"",VLOOKUP($A76,'Annex 2 Designated EHV charges'!$A:$P,11,FALSE)),"")</f>
        <v/>
      </c>
      <c r="H76" s="53" t="str">
        <f>IFERROR(IF(VLOOKUP($A76,'Annex 2 Designated EHV charges'!$A:$P,12,FALSE)=0,"",VLOOKUP($A76,'Annex 2 Designated EHV charges'!$A:$P,12,FALSE)),"")</f>
        <v/>
      </c>
    </row>
    <row r="77" spans="1:8" x14ac:dyDescent="0.2">
      <c r="A77" s="53" t="str">
        <f t="array" ref="A77">IFERROR(INDEX('Annex 2 Designated EHV charges'!$A$11:$A$58, MATCH(0, IF(ISBLANK('Annex 2 Designated EHV charges'!$A$11:$A$58),1, COUNTIF(A$4:$A76, 'Annex 2 Designated EHV charges'!$A$11:$A$58)), 0)),"")</f>
        <v/>
      </c>
      <c r="B77" s="53" t="str">
        <f>IF($A77="","",VLOOKUP($A77,'Annex 2 Designated EHV charges'!$A:$O,2,0))</f>
        <v/>
      </c>
      <c r="C77" s="61" t="str">
        <f>IF($A77="","",VLOOKUP($A77,'Annex 2 Designated EHV charges'!$A:$O,3,0))</f>
        <v/>
      </c>
      <c r="D77" s="61" t="str">
        <f>IF($A77="","",VLOOKUP($A77,'Annex 2 Designated EHV charges'!$A:$O,7,0))</f>
        <v/>
      </c>
      <c r="E77" s="62" t="str">
        <f>IFERROR(IF(VLOOKUP($A77,'Annex 2 Designated EHV charges'!$A:$P,9,FALSE)=0,"",VLOOKUP($A77,'Annex 2 Designated EHV charges'!$A:$P,9,FALSE)),"")</f>
        <v/>
      </c>
      <c r="F77" s="208" t="str">
        <f>IFERROR(IF(VLOOKUP($A77,'Annex 2 Designated EHV charges'!$A:$P,10,FALSE)=0,"",VLOOKUP($A77,'Annex 2 Designated EHV charges'!$A:$P,10,FALSE)),"")</f>
        <v/>
      </c>
      <c r="G77" s="63" t="str">
        <f>IFERROR(IF(VLOOKUP($A77,'Annex 2 Designated EHV charges'!$A:$P,11,FALSE)=0,"",VLOOKUP($A77,'Annex 2 Designated EHV charges'!$A:$P,11,FALSE)),"")</f>
        <v/>
      </c>
      <c r="H77" s="53" t="str">
        <f>IFERROR(IF(VLOOKUP($A77,'Annex 2 Designated EHV charges'!$A:$P,12,FALSE)=0,"",VLOOKUP($A77,'Annex 2 Designated EHV charges'!$A:$P,12,FALSE)),"")</f>
        <v/>
      </c>
    </row>
    <row r="78" spans="1:8" x14ac:dyDescent="0.2">
      <c r="A78" s="53" t="str">
        <f t="array" ref="A78">IFERROR(INDEX('Annex 2 Designated EHV charges'!$A$11:$A$58, MATCH(0, IF(ISBLANK('Annex 2 Designated EHV charges'!$A$11:$A$58),1, COUNTIF(A$4:$A77, 'Annex 2 Designated EHV charges'!$A$11:$A$58)), 0)),"")</f>
        <v/>
      </c>
      <c r="B78" s="53" t="str">
        <f>IF($A78="","",VLOOKUP($A78,'Annex 2 Designated EHV charges'!$A:$O,2,0))</f>
        <v/>
      </c>
      <c r="C78" s="61" t="str">
        <f>IF($A78="","",VLOOKUP($A78,'Annex 2 Designated EHV charges'!$A:$O,3,0))</f>
        <v/>
      </c>
      <c r="D78" s="61" t="str">
        <f>IF($A78="","",VLOOKUP($A78,'Annex 2 Designated EHV charges'!$A:$O,7,0))</f>
        <v/>
      </c>
      <c r="E78" s="62" t="str">
        <f>IFERROR(IF(VLOOKUP($A78,'Annex 2 Designated EHV charges'!$A:$P,9,FALSE)=0,"",VLOOKUP($A78,'Annex 2 Designated EHV charges'!$A:$P,9,FALSE)),"")</f>
        <v/>
      </c>
      <c r="F78" s="208" t="str">
        <f>IFERROR(IF(VLOOKUP($A78,'Annex 2 Designated EHV charges'!$A:$P,10,FALSE)=0,"",VLOOKUP($A78,'Annex 2 Designated EHV charges'!$A:$P,10,FALSE)),"")</f>
        <v/>
      </c>
      <c r="G78" s="63" t="str">
        <f>IFERROR(IF(VLOOKUP($A78,'Annex 2 Designated EHV charges'!$A:$P,11,FALSE)=0,"",VLOOKUP($A78,'Annex 2 Designated EHV charges'!$A:$P,11,FALSE)),"")</f>
        <v/>
      </c>
      <c r="H78" s="53" t="str">
        <f>IFERROR(IF(VLOOKUP($A78,'Annex 2 Designated EHV charges'!$A:$P,12,FALSE)=0,"",VLOOKUP($A78,'Annex 2 Designated EHV charges'!$A:$P,12,FALSE)),"")</f>
        <v/>
      </c>
    </row>
    <row r="79" spans="1:8" x14ac:dyDescent="0.2">
      <c r="A79" s="53" t="str">
        <f t="array" ref="A79">IFERROR(INDEX('Annex 2 Designated EHV charges'!$A$11:$A$58, MATCH(0, IF(ISBLANK('Annex 2 Designated EHV charges'!$A$11:$A$58),1, COUNTIF(A$4:$A78, 'Annex 2 Designated EHV charges'!$A$11:$A$58)), 0)),"")</f>
        <v/>
      </c>
      <c r="B79" s="53" t="str">
        <f>IF($A79="","",VLOOKUP($A79,'Annex 2 Designated EHV charges'!$A:$O,2,0))</f>
        <v/>
      </c>
      <c r="C79" s="61" t="str">
        <f>IF($A79="","",VLOOKUP($A79,'Annex 2 Designated EHV charges'!$A:$O,3,0))</f>
        <v/>
      </c>
      <c r="D79" s="61" t="str">
        <f>IF($A79="","",VLOOKUP($A79,'Annex 2 Designated EHV charges'!$A:$O,7,0))</f>
        <v/>
      </c>
      <c r="E79" s="62" t="str">
        <f>IFERROR(IF(VLOOKUP($A79,'Annex 2 Designated EHV charges'!$A:$P,9,FALSE)=0,"",VLOOKUP($A79,'Annex 2 Designated EHV charges'!$A:$P,9,FALSE)),"")</f>
        <v/>
      </c>
      <c r="F79" s="208" t="str">
        <f>IFERROR(IF(VLOOKUP($A79,'Annex 2 Designated EHV charges'!$A:$P,10,FALSE)=0,"",VLOOKUP($A79,'Annex 2 Designated EHV charges'!$A:$P,10,FALSE)),"")</f>
        <v/>
      </c>
      <c r="G79" s="63" t="str">
        <f>IFERROR(IF(VLOOKUP($A79,'Annex 2 Designated EHV charges'!$A:$P,11,FALSE)=0,"",VLOOKUP($A79,'Annex 2 Designated EHV charges'!$A:$P,11,FALSE)),"")</f>
        <v/>
      </c>
      <c r="H79" s="53" t="str">
        <f>IFERROR(IF(VLOOKUP($A79,'Annex 2 Designated EHV charges'!$A:$P,12,FALSE)=0,"",VLOOKUP($A79,'Annex 2 Designated EHV charges'!$A:$P,12,FALSE)),"")</f>
        <v/>
      </c>
    </row>
    <row r="80" spans="1:8" x14ac:dyDescent="0.2">
      <c r="A80" s="53" t="str">
        <f t="array" ref="A80">IFERROR(INDEX('Annex 2 Designated EHV charges'!$A$11:$A$58, MATCH(0, IF(ISBLANK('Annex 2 Designated EHV charges'!$A$11:$A$58),1, COUNTIF(A$4:$A79, 'Annex 2 Designated EHV charges'!$A$11:$A$58)), 0)),"")</f>
        <v/>
      </c>
      <c r="B80" s="53" t="str">
        <f>IF($A80="","",VLOOKUP($A80,'Annex 2 Designated EHV charges'!$A:$O,2,0))</f>
        <v/>
      </c>
      <c r="C80" s="61" t="str">
        <f>IF($A80="","",VLOOKUP($A80,'Annex 2 Designated EHV charges'!$A:$O,3,0))</f>
        <v/>
      </c>
      <c r="D80" s="61" t="str">
        <f>IF($A80="","",VLOOKUP($A80,'Annex 2 Designated EHV charges'!$A:$O,7,0))</f>
        <v/>
      </c>
      <c r="E80" s="62" t="str">
        <f>IFERROR(IF(VLOOKUP($A80,'Annex 2 Designated EHV charges'!$A:$P,9,FALSE)=0,"",VLOOKUP($A80,'Annex 2 Designated EHV charges'!$A:$P,9,FALSE)),"")</f>
        <v/>
      </c>
      <c r="F80" s="208" t="str">
        <f>IFERROR(IF(VLOOKUP($A80,'Annex 2 Designated EHV charges'!$A:$P,10,FALSE)=0,"",VLOOKUP($A80,'Annex 2 Designated EHV charges'!$A:$P,10,FALSE)),"")</f>
        <v/>
      </c>
      <c r="G80" s="63" t="str">
        <f>IFERROR(IF(VLOOKUP($A80,'Annex 2 Designated EHV charges'!$A:$P,11,FALSE)=0,"",VLOOKUP($A80,'Annex 2 Designated EHV charges'!$A:$P,11,FALSE)),"")</f>
        <v/>
      </c>
      <c r="H80" s="53" t="str">
        <f>IFERROR(IF(VLOOKUP($A80,'Annex 2 Designated EHV charges'!$A:$P,12,FALSE)=0,"",VLOOKUP($A80,'Annex 2 Designated EHV charges'!$A:$P,12,FALSE)),"")</f>
        <v/>
      </c>
    </row>
    <row r="81" spans="1:8" x14ac:dyDescent="0.2">
      <c r="A81" s="53" t="str">
        <f t="array" ref="A81">IFERROR(INDEX('Annex 2 Designated EHV charges'!$A$11:$A$58, MATCH(0, IF(ISBLANK('Annex 2 Designated EHV charges'!$A$11:$A$58),1, COUNTIF(A$4:$A80, 'Annex 2 Designated EHV charges'!$A$11:$A$58)), 0)),"")</f>
        <v/>
      </c>
      <c r="B81" s="53" t="str">
        <f>IF($A81="","",VLOOKUP($A81,'Annex 2 Designated EHV charges'!$A:$O,2,0))</f>
        <v/>
      </c>
      <c r="C81" s="61" t="str">
        <f>IF($A81="","",VLOOKUP($A81,'Annex 2 Designated EHV charges'!$A:$O,3,0))</f>
        <v/>
      </c>
      <c r="D81" s="61" t="str">
        <f>IF($A81="","",VLOOKUP($A81,'Annex 2 Designated EHV charges'!$A:$O,7,0))</f>
        <v/>
      </c>
      <c r="E81" s="62" t="str">
        <f>IFERROR(IF(VLOOKUP($A81,'Annex 2 Designated EHV charges'!$A:$P,9,FALSE)=0,"",VLOOKUP($A81,'Annex 2 Designated EHV charges'!$A:$P,9,FALSE)),"")</f>
        <v/>
      </c>
      <c r="F81" s="208" t="str">
        <f>IFERROR(IF(VLOOKUP($A81,'Annex 2 Designated EHV charges'!$A:$P,10,FALSE)=0,"",VLOOKUP($A81,'Annex 2 Designated EHV charges'!$A:$P,10,FALSE)),"")</f>
        <v/>
      </c>
      <c r="G81" s="63" t="str">
        <f>IFERROR(IF(VLOOKUP($A81,'Annex 2 Designated EHV charges'!$A:$P,11,FALSE)=0,"",VLOOKUP($A81,'Annex 2 Designated EHV charges'!$A:$P,11,FALSE)),"")</f>
        <v/>
      </c>
      <c r="H81" s="53" t="str">
        <f>IFERROR(IF(VLOOKUP($A81,'Annex 2 Designated EHV charges'!$A:$P,12,FALSE)=0,"",VLOOKUP($A81,'Annex 2 Designated EHV charges'!$A:$P,12,FALSE)),"")</f>
        <v/>
      </c>
    </row>
    <row r="82" spans="1:8" x14ac:dyDescent="0.2">
      <c r="A82" s="53" t="str">
        <f t="array" ref="A82">IFERROR(INDEX('Annex 2 Designated EHV charges'!$A$11:$A$58, MATCH(0, IF(ISBLANK('Annex 2 Designated EHV charges'!$A$11:$A$58),1, COUNTIF(A$4:$A81, 'Annex 2 Designated EHV charges'!$A$11:$A$58)), 0)),"")</f>
        <v/>
      </c>
      <c r="B82" s="53" t="str">
        <f>IF($A82="","",VLOOKUP($A82,'Annex 2 Designated EHV charges'!$A:$O,2,0))</f>
        <v/>
      </c>
      <c r="C82" s="61" t="str">
        <f>IF($A82="","",VLOOKUP($A82,'Annex 2 Designated EHV charges'!$A:$O,3,0))</f>
        <v/>
      </c>
      <c r="D82" s="61" t="str">
        <f>IF($A82="","",VLOOKUP($A82,'Annex 2 Designated EHV charges'!$A:$O,7,0))</f>
        <v/>
      </c>
      <c r="E82" s="62" t="str">
        <f>IFERROR(IF(VLOOKUP($A82,'Annex 2 Designated EHV charges'!$A:$P,9,FALSE)=0,"",VLOOKUP($A82,'Annex 2 Designated EHV charges'!$A:$P,9,FALSE)),"")</f>
        <v/>
      </c>
      <c r="F82" s="208" t="str">
        <f>IFERROR(IF(VLOOKUP($A82,'Annex 2 Designated EHV charges'!$A:$P,10,FALSE)=0,"",VLOOKUP($A82,'Annex 2 Designated EHV charges'!$A:$P,10,FALSE)),"")</f>
        <v/>
      </c>
      <c r="G82" s="63" t="str">
        <f>IFERROR(IF(VLOOKUP($A82,'Annex 2 Designated EHV charges'!$A:$P,11,FALSE)=0,"",VLOOKUP($A82,'Annex 2 Designated EHV charges'!$A:$P,11,FALSE)),"")</f>
        <v/>
      </c>
      <c r="H82" s="53" t="str">
        <f>IFERROR(IF(VLOOKUP($A82,'Annex 2 Designated EHV charges'!$A:$P,12,FALSE)=0,"",VLOOKUP($A82,'Annex 2 Designated EHV charges'!$A:$P,12,FALSE)),"")</f>
        <v/>
      </c>
    </row>
    <row r="83" spans="1:8" x14ac:dyDescent="0.2">
      <c r="A83" s="53" t="str">
        <f t="array" ref="A83">IFERROR(INDEX('Annex 2 Designated EHV charges'!$A$11:$A$58, MATCH(0, IF(ISBLANK('Annex 2 Designated EHV charges'!$A$11:$A$58),1, COUNTIF(A$4:$A82, 'Annex 2 Designated EHV charges'!$A$11:$A$58)), 0)),"")</f>
        <v/>
      </c>
      <c r="B83" s="53" t="str">
        <f>IF($A83="","",VLOOKUP($A83,'Annex 2 Designated EHV charges'!$A:$O,2,0))</f>
        <v/>
      </c>
      <c r="C83" s="61" t="str">
        <f>IF($A83="","",VLOOKUP($A83,'Annex 2 Designated EHV charges'!$A:$O,3,0))</f>
        <v/>
      </c>
      <c r="D83" s="61" t="str">
        <f>IF($A83="","",VLOOKUP($A83,'Annex 2 Designated EHV charges'!$A:$O,7,0))</f>
        <v/>
      </c>
      <c r="E83" s="62" t="str">
        <f>IFERROR(IF(VLOOKUP($A83,'Annex 2 Designated EHV charges'!$A:$P,9,FALSE)=0,"",VLOOKUP($A83,'Annex 2 Designated EHV charges'!$A:$P,9,FALSE)),"")</f>
        <v/>
      </c>
      <c r="F83" s="208" t="str">
        <f>IFERROR(IF(VLOOKUP($A83,'Annex 2 Designated EHV charges'!$A:$P,10,FALSE)=0,"",VLOOKUP($A83,'Annex 2 Designated EHV charges'!$A:$P,10,FALSE)),"")</f>
        <v/>
      </c>
      <c r="G83" s="63" t="str">
        <f>IFERROR(IF(VLOOKUP($A83,'Annex 2 Designated EHV charges'!$A:$P,11,FALSE)=0,"",VLOOKUP($A83,'Annex 2 Designated EHV charges'!$A:$P,11,FALSE)),"")</f>
        <v/>
      </c>
      <c r="H83" s="53" t="str">
        <f>IFERROR(IF(VLOOKUP($A83,'Annex 2 Designated EHV charges'!$A:$P,12,FALSE)=0,"",VLOOKUP($A83,'Annex 2 Designated EHV charges'!$A:$P,12,FALSE)),"")</f>
        <v/>
      </c>
    </row>
    <row r="84" spans="1:8" x14ac:dyDescent="0.2">
      <c r="A84" s="53" t="str">
        <f t="array" ref="A84">IFERROR(INDEX('Annex 2 Designated EHV charges'!$A$11:$A$58, MATCH(0, IF(ISBLANK('Annex 2 Designated EHV charges'!$A$11:$A$58),1, COUNTIF(A$4:$A83, 'Annex 2 Designated EHV charges'!$A$11:$A$58)), 0)),"")</f>
        <v/>
      </c>
      <c r="B84" s="53" t="str">
        <f>IF($A84="","",VLOOKUP($A84,'Annex 2 Designated EHV charges'!$A:$O,2,0))</f>
        <v/>
      </c>
      <c r="C84" s="61" t="str">
        <f>IF($A84="","",VLOOKUP($A84,'Annex 2 Designated EHV charges'!$A:$O,3,0))</f>
        <v/>
      </c>
      <c r="D84" s="61" t="str">
        <f>IF($A84="","",VLOOKUP($A84,'Annex 2 Designated EHV charges'!$A:$O,7,0))</f>
        <v/>
      </c>
      <c r="E84" s="62" t="str">
        <f>IFERROR(IF(VLOOKUP($A84,'Annex 2 Designated EHV charges'!$A:$P,9,FALSE)=0,"",VLOOKUP($A84,'Annex 2 Designated EHV charges'!$A:$P,9,FALSE)),"")</f>
        <v/>
      </c>
      <c r="F84" s="208" t="str">
        <f>IFERROR(IF(VLOOKUP($A84,'Annex 2 Designated EHV charges'!$A:$P,10,FALSE)=0,"",VLOOKUP($A84,'Annex 2 Designated EHV charges'!$A:$P,10,FALSE)),"")</f>
        <v/>
      </c>
      <c r="G84" s="63" t="str">
        <f>IFERROR(IF(VLOOKUP($A84,'Annex 2 Designated EHV charges'!$A:$P,11,FALSE)=0,"",VLOOKUP($A84,'Annex 2 Designated EHV charges'!$A:$P,11,FALSE)),"")</f>
        <v/>
      </c>
      <c r="H84" s="53" t="str">
        <f>IFERROR(IF(VLOOKUP($A84,'Annex 2 Designated EHV charges'!$A:$P,12,FALSE)=0,"",VLOOKUP($A84,'Annex 2 Designated EHV charges'!$A:$P,12,FALSE)),"")</f>
        <v/>
      </c>
    </row>
    <row r="85" spans="1:8" x14ac:dyDescent="0.2">
      <c r="A85" s="53" t="str">
        <f t="array" ref="A85">IFERROR(INDEX('Annex 2 Designated EHV charges'!$A$11:$A$58, MATCH(0, IF(ISBLANK('Annex 2 Designated EHV charges'!$A$11:$A$58),1, COUNTIF(A$4:$A84, 'Annex 2 Designated EHV charges'!$A$11:$A$58)), 0)),"")</f>
        <v/>
      </c>
      <c r="B85" s="53" t="str">
        <f>IF($A85="","",VLOOKUP($A85,'Annex 2 Designated EHV charges'!$A:$O,2,0))</f>
        <v/>
      </c>
      <c r="C85" s="61" t="str">
        <f>IF($A85="","",VLOOKUP($A85,'Annex 2 Designated EHV charges'!$A:$O,3,0))</f>
        <v/>
      </c>
      <c r="D85" s="61" t="str">
        <f>IF($A85="","",VLOOKUP($A85,'Annex 2 Designated EHV charges'!$A:$O,7,0))</f>
        <v/>
      </c>
      <c r="E85" s="62" t="str">
        <f>IFERROR(IF(VLOOKUP($A85,'Annex 2 Designated EHV charges'!$A:$P,9,FALSE)=0,"",VLOOKUP($A85,'Annex 2 Designated EHV charges'!$A:$P,9,FALSE)),"")</f>
        <v/>
      </c>
      <c r="F85" s="208" t="str">
        <f>IFERROR(IF(VLOOKUP($A85,'Annex 2 Designated EHV charges'!$A:$P,10,FALSE)=0,"",VLOOKUP($A85,'Annex 2 Designated EHV charges'!$A:$P,10,FALSE)),"")</f>
        <v/>
      </c>
      <c r="G85" s="63" t="str">
        <f>IFERROR(IF(VLOOKUP($A85,'Annex 2 Designated EHV charges'!$A:$P,11,FALSE)=0,"",VLOOKUP($A85,'Annex 2 Designated EHV charges'!$A:$P,11,FALSE)),"")</f>
        <v/>
      </c>
      <c r="H85" s="53" t="str">
        <f>IFERROR(IF(VLOOKUP($A85,'Annex 2 Designated EHV charges'!$A:$P,12,FALSE)=0,"",VLOOKUP($A85,'Annex 2 Designated EHV charges'!$A:$P,12,FALSE)),"")</f>
        <v/>
      </c>
    </row>
    <row r="86" spans="1:8" x14ac:dyDescent="0.2">
      <c r="A86" s="53" t="str">
        <f t="array" ref="A86">IFERROR(INDEX('Annex 2 Designated EHV charges'!$A$11:$A$58, MATCH(0, IF(ISBLANK('Annex 2 Designated EHV charges'!$A$11:$A$58),1, COUNTIF(A$4:$A85, 'Annex 2 Designated EHV charges'!$A$11:$A$58)), 0)),"")</f>
        <v/>
      </c>
      <c r="B86" s="53" t="str">
        <f>IF($A86="","",VLOOKUP($A86,'Annex 2 Designated EHV charges'!$A:$O,2,0))</f>
        <v/>
      </c>
      <c r="C86" s="61" t="str">
        <f>IF($A86="","",VLOOKUP($A86,'Annex 2 Designated EHV charges'!$A:$O,3,0))</f>
        <v/>
      </c>
      <c r="D86" s="61" t="str">
        <f>IF($A86="","",VLOOKUP($A86,'Annex 2 Designated EHV charges'!$A:$O,7,0))</f>
        <v/>
      </c>
      <c r="E86" s="62" t="str">
        <f>IFERROR(IF(VLOOKUP($A86,'Annex 2 Designated EHV charges'!$A:$P,9,FALSE)=0,"",VLOOKUP($A86,'Annex 2 Designated EHV charges'!$A:$P,9,FALSE)),"")</f>
        <v/>
      </c>
      <c r="F86" s="208" t="str">
        <f>IFERROR(IF(VLOOKUP($A86,'Annex 2 Designated EHV charges'!$A:$P,10,FALSE)=0,"",VLOOKUP($A86,'Annex 2 Designated EHV charges'!$A:$P,10,FALSE)),"")</f>
        <v/>
      </c>
      <c r="G86" s="63" t="str">
        <f>IFERROR(IF(VLOOKUP($A86,'Annex 2 Designated EHV charges'!$A:$P,11,FALSE)=0,"",VLOOKUP($A86,'Annex 2 Designated EHV charges'!$A:$P,11,FALSE)),"")</f>
        <v/>
      </c>
      <c r="H86" s="53" t="str">
        <f>IFERROR(IF(VLOOKUP($A86,'Annex 2 Designated EHV charges'!$A:$P,12,FALSE)=0,"",VLOOKUP($A86,'Annex 2 Designated EHV charges'!$A:$P,12,FALSE)),"")</f>
        <v/>
      </c>
    </row>
    <row r="87" spans="1:8" x14ac:dyDescent="0.2">
      <c r="A87" s="53" t="str">
        <f t="array" ref="A87">IFERROR(INDEX('Annex 2 Designated EHV charges'!$A$11:$A$58, MATCH(0, IF(ISBLANK('Annex 2 Designated EHV charges'!$A$11:$A$58),1, COUNTIF(A$4:$A86, 'Annex 2 Designated EHV charges'!$A$11:$A$58)), 0)),"")</f>
        <v/>
      </c>
      <c r="B87" s="53" t="str">
        <f>IF($A87="","",VLOOKUP($A87,'Annex 2 Designated EHV charges'!$A:$O,2,0))</f>
        <v/>
      </c>
      <c r="C87" s="61" t="str">
        <f>IF($A87="","",VLOOKUP($A87,'Annex 2 Designated EHV charges'!$A:$O,3,0))</f>
        <v/>
      </c>
      <c r="D87" s="61" t="str">
        <f>IF($A87="","",VLOOKUP($A87,'Annex 2 Designated EHV charges'!$A:$O,7,0))</f>
        <v/>
      </c>
      <c r="E87" s="62" t="str">
        <f>IFERROR(IF(VLOOKUP($A87,'Annex 2 Designated EHV charges'!$A:$P,9,FALSE)=0,"",VLOOKUP($A87,'Annex 2 Designated EHV charges'!$A:$P,9,FALSE)),"")</f>
        <v/>
      </c>
      <c r="F87" s="208" t="str">
        <f>IFERROR(IF(VLOOKUP($A87,'Annex 2 Designated EHV charges'!$A:$P,10,FALSE)=0,"",VLOOKUP($A87,'Annex 2 Designated EHV charges'!$A:$P,10,FALSE)),"")</f>
        <v/>
      </c>
      <c r="G87" s="63" t="str">
        <f>IFERROR(IF(VLOOKUP($A87,'Annex 2 Designated EHV charges'!$A:$P,11,FALSE)=0,"",VLOOKUP($A87,'Annex 2 Designated EHV charges'!$A:$P,11,FALSE)),"")</f>
        <v/>
      </c>
      <c r="H87" s="53" t="str">
        <f>IFERROR(IF(VLOOKUP($A87,'Annex 2 Designated EHV charges'!$A:$P,12,FALSE)=0,"",VLOOKUP($A87,'Annex 2 Designated EHV charges'!$A:$P,12,FALSE)),"")</f>
        <v/>
      </c>
    </row>
    <row r="88" spans="1:8" x14ac:dyDescent="0.2">
      <c r="A88" s="53" t="str">
        <f t="array" ref="A88">IFERROR(INDEX('Annex 2 Designated EHV charges'!$A$11:$A$58, MATCH(0, IF(ISBLANK('Annex 2 Designated EHV charges'!$A$11:$A$58),1, COUNTIF(A$4:$A87, 'Annex 2 Designated EHV charges'!$A$11:$A$58)), 0)),"")</f>
        <v/>
      </c>
      <c r="B88" s="53" t="str">
        <f>IF($A88="","",VLOOKUP($A88,'Annex 2 Designated EHV charges'!$A:$O,2,0))</f>
        <v/>
      </c>
      <c r="C88" s="61" t="str">
        <f>IF($A88="","",VLOOKUP($A88,'Annex 2 Designated EHV charges'!$A:$O,3,0))</f>
        <v/>
      </c>
      <c r="D88" s="61" t="str">
        <f>IF($A88="","",VLOOKUP($A88,'Annex 2 Designated EHV charges'!$A:$O,7,0))</f>
        <v/>
      </c>
      <c r="E88" s="62" t="str">
        <f>IFERROR(IF(VLOOKUP($A88,'Annex 2 Designated EHV charges'!$A:$P,9,FALSE)=0,"",VLOOKUP($A88,'Annex 2 Designated EHV charges'!$A:$P,9,FALSE)),"")</f>
        <v/>
      </c>
      <c r="F88" s="208" t="str">
        <f>IFERROR(IF(VLOOKUP($A88,'Annex 2 Designated EHV charges'!$A:$P,10,FALSE)=0,"",VLOOKUP($A88,'Annex 2 Designated EHV charges'!$A:$P,10,FALSE)),"")</f>
        <v/>
      </c>
      <c r="G88" s="63" t="str">
        <f>IFERROR(IF(VLOOKUP($A88,'Annex 2 Designated EHV charges'!$A:$P,11,FALSE)=0,"",VLOOKUP($A88,'Annex 2 Designated EHV charges'!$A:$P,11,FALSE)),"")</f>
        <v/>
      </c>
      <c r="H88" s="53" t="str">
        <f>IFERROR(IF(VLOOKUP($A88,'Annex 2 Designated EHV charges'!$A:$P,12,FALSE)=0,"",VLOOKUP($A88,'Annex 2 Designated EHV charges'!$A:$P,12,FALSE)),"")</f>
        <v/>
      </c>
    </row>
    <row r="89" spans="1:8" x14ac:dyDescent="0.2">
      <c r="A89" s="53" t="str">
        <f t="array" ref="A89">IFERROR(INDEX('Annex 2 Designated EHV charges'!$A$11:$A$58, MATCH(0, IF(ISBLANK('Annex 2 Designated EHV charges'!$A$11:$A$58),1, COUNTIF(A$4:$A88, 'Annex 2 Designated EHV charges'!$A$11:$A$58)), 0)),"")</f>
        <v/>
      </c>
      <c r="B89" s="53" t="str">
        <f>IF($A89="","",VLOOKUP($A89,'Annex 2 Designated EHV charges'!$A:$O,2,0))</f>
        <v/>
      </c>
      <c r="C89" s="61" t="str">
        <f>IF($A89="","",VLOOKUP($A89,'Annex 2 Designated EHV charges'!$A:$O,3,0))</f>
        <v/>
      </c>
      <c r="D89" s="61" t="str">
        <f>IF($A89="","",VLOOKUP($A89,'Annex 2 Designated EHV charges'!$A:$O,7,0))</f>
        <v/>
      </c>
      <c r="E89" s="62" t="str">
        <f>IFERROR(IF(VLOOKUP($A89,'Annex 2 Designated EHV charges'!$A:$P,9,FALSE)=0,"",VLOOKUP($A89,'Annex 2 Designated EHV charges'!$A:$P,9,FALSE)),"")</f>
        <v/>
      </c>
      <c r="F89" s="208" t="str">
        <f>IFERROR(IF(VLOOKUP($A89,'Annex 2 Designated EHV charges'!$A:$P,10,FALSE)=0,"",VLOOKUP($A89,'Annex 2 Designated EHV charges'!$A:$P,10,FALSE)),"")</f>
        <v/>
      </c>
      <c r="G89" s="63" t="str">
        <f>IFERROR(IF(VLOOKUP($A89,'Annex 2 Designated EHV charges'!$A:$P,11,FALSE)=0,"",VLOOKUP($A89,'Annex 2 Designated EHV charges'!$A:$P,11,FALSE)),"")</f>
        <v/>
      </c>
      <c r="H89" s="53" t="str">
        <f>IFERROR(IF(VLOOKUP($A89,'Annex 2 Designated EHV charges'!$A:$P,12,FALSE)=0,"",VLOOKUP($A89,'Annex 2 Designated EHV charges'!$A:$P,12,FALSE)),"")</f>
        <v/>
      </c>
    </row>
    <row r="90" spans="1:8" x14ac:dyDescent="0.2">
      <c r="A90" s="53" t="str">
        <f t="array" ref="A90">IFERROR(INDEX('Annex 2 Designated EHV charges'!$A$11:$A$58, MATCH(0, IF(ISBLANK('Annex 2 Designated EHV charges'!$A$11:$A$58),1, COUNTIF(A$4:$A89, 'Annex 2 Designated EHV charges'!$A$11:$A$58)), 0)),"")</f>
        <v/>
      </c>
      <c r="B90" s="53" t="str">
        <f>IF($A90="","",VLOOKUP($A90,'Annex 2 Designated EHV charges'!$A:$O,2,0))</f>
        <v/>
      </c>
      <c r="C90" s="61" t="str">
        <f>IF($A90="","",VLOOKUP($A90,'Annex 2 Designated EHV charges'!$A:$O,3,0))</f>
        <v/>
      </c>
      <c r="D90" s="61" t="str">
        <f>IF($A90="","",VLOOKUP($A90,'Annex 2 Designated EHV charges'!$A:$O,7,0))</f>
        <v/>
      </c>
      <c r="E90" s="62" t="str">
        <f>IFERROR(IF(VLOOKUP($A90,'Annex 2 Designated EHV charges'!$A:$P,9,FALSE)=0,"",VLOOKUP($A90,'Annex 2 Designated EHV charges'!$A:$P,9,FALSE)),"")</f>
        <v/>
      </c>
      <c r="F90" s="208" t="str">
        <f>IFERROR(IF(VLOOKUP($A90,'Annex 2 Designated EHV charges'!$A:$P,10,FALSE)=0,"",VLOOKUP($A90,'Annex 2 Designated EHV charges'!$A:$P,10,FALSE)),"")</f>
        <v/>
      </c>
      <c r="G90" s="63" t="str">
        <f>IFERROR(IF(VLOOKUP($A90,'Annex 2 Designated EHV charges'!$A:$P,11,FALSE)=0,"",VLOOKUP($A90,'Annex 2 Designated EHV charges'!$A:$P,11,FALSE)),"")</f>
        <v/>
      </c>
      <c r="H90" s="53" t="str">
        <f>IFERROR(IF(VLOOKUP($A90,'Annex 2 Designated EHV charges'!$A:$P,12,FALSE)=0,"",VLOOKUP($A90,'Annex 2 Designated EHV charges'!$A:$P,12,FALSE)),"")</f>
        <v/>
      </c>
    </row>
    <row r="91" spans="1:8" x14ac:dyDescent="0.2">
      <c r="A91" s="53" t="str">
        <f t="array" ref="A91">IFERROR(INDEX('Annex 2 Designated EHV charges'!$A$11:$A$58, MATCH(0, IF(ISBLANK('Annex 2 Designated EHV charges'!$A$11:$A$58),1, COUNTIF(A$4:$A90, 'Annex 2 Designated EHV charges'!$A$11:$A$58)), 0)),"")</f>
        <v/>
      </c>
      <c r="B91" s="53" t="str">
        <f>IF($A91="","",VLOOKUP($A91,'Annex 2 Designated EHV charges'!$A:$O,2,0))</f>
        <v/>
      </c>
      <c r="C91" s="61" t="str">
        <f>IF($A91="","",VLOOKUP($A91,'Annex 2 Designated EHV charges'!$A:$O,3,0))</f>
        <v/>
      </c>
      <c r="D91" s="61" t="str">
        <f>IF($A91="","",VLOOKUP($A91,'Annex 2 Designated EHV charges'!$A:$O,7,0))</f>
        <v/>
      </c>
      <c r="E91" s="62" t="str">
        <f>IFERROR(IF(VLOOKUP($A91,'Annex 2 Designated EHV charges'!$A:$P,9,FALSE)=0,"",VLOOKUP($A91,'Annex 2 Designated EHV charges'!$A:$P,9,FALSE)),"")</f>
        <v/>
      </c>
      <c r="F91" s="208" t="str">
        <f>IFERROR(IF(VLOOKUP($A91,'Annex 2 Designated EHV charges'!$A:$P,10,FALSE)=0,"",VLOOKUP($A91,'Annex 2 Designated EHV charges'!$A:$P,10,FALSE)),"")</f>
        <v/>
      </c>
      <c r="G91" s="63" t="str">
        <f>IFERROR(IF(VLOOKUP($A91,'Annex 2 Designated EHV charges'!$A:$P,11,FALSE)=0,"",VLOOKUP($A91,'Annex 2 Designated EHV charges'!$A:$P,11,FALSE)),"")</f>
        <v/>
      </c>
      <c r="H91" s="53" t="str">
        <f>IFERROR(IF(VLOOKUP($A91,'Annex 2 Designated EHV charges'!$A:$P,12,FALSE)=0,"",VLOOKUP($A91,'Annex 2 Designated EHV charges'!$A:$P,12,FALSE)),"")</f>
        <v/>
      </c>
    </row>
    <row r="92" spans="1:8" x14ac:dyDescent="0.2">
      <c r="A92" s="53" t="str">
        <f t="array" ref="A92">IFERROR(INDEX('Annex 2 Designated EHV charges'!$A$11:$A$58, MATCH(0, IF(ISBLANK('Annex 2 Designated EHV charges'!$A$11:$A$58),1, COUNTIF(A$4:$A91, 'Annex 2 Designated EHV charges'!$A$11:$A$58)), 0)),"")</f>
        <v/>
      </c>
      <c r="B92" s="53" t="str">
        <f>IF($A92="","",VLOOKUP($A92,'Annex 2 Designated EHV charges'!$A:$O,2,0))</f>
        <v/>
      </c>
      <c r="C92" s="61" t="str">
        <f>IF($A92="","",VLOOKUP($A92,'Annex 2 Designated EHV charges'!$A:$O,3,0))</f>
        <v/>
      </c>
      <c r="D92" s="61" t="str">
        <f>IF($A92="","",VLOOKUP($A92,'Annex 2 Designated EHV charges'!$A:$O,7,0))</f>
        <v/>
      </c>
      <c r="E92" s="62" t="str">
        <f>IFERROR(IF(VLOOKUP($A92,'Annex 2 Designated EHV charges'!$A:$P,9,FALSE)=0,"",VLOOKUP($A92,'Annex 2 Designated EHV charges'!$A:$P,9,FALSE)),"")</f>
        <v/>
      </c>
      <c r="F92" s="208" t="str">
        <f>IFERROR(IF(VLOOKUP($A92,'Annex 2 Designated EHV charges'!$A:$P,10,FALSE)=0,"",VLOOKUP($A92,'Annex 2 Designated EHV charges'!$A:$P,10,FALSE)),"")</f>
        <v/>
      </c>
      <c r="G92" s="63" t="str">
        <f>IFERROR(IF(VLOOKUP($A92,'Annex 2 Designated EHV charges'!$A:$P,11,FALSE)=0,"",VLOOKUP($A92,'Annex 2 Designated EHV charges'!$A:$P,11,FALSE)),"")</f>
        <v/>
      </c>
      <c r="H92" s="53" t="str">
        <f>IFERROR(IF(VLOOKUP($A92,'Annex 2 Designated EHV charges'!$A:$P,12,FALSE)=0,"",VLOOKUP($A92,'Annex 2 Designated EHV charges'!$A:$P,12,FALSE)),"")</f>
        <v/>
      </c>
    </row>
    <row r="93" spans="1:8" x14ac:dyDescent="0.2">
      <c r="A93" s="53" t="str">
        <f t="array" ref="A93">IFERROR(INDEX('Annex 2 Designated EHV charges'!$A$11:$A$58, MATCH(0, IF(ISBLANK('Annex 2 Designated EHV charges'!$A$11:$A$58),1, COUNTIF(A$4:$A92, 'Annex 2 Designated EHV charges'!$A$11:$A$58)), 0)),"")</f>
        <v/>
      </c>
      <c r="B93" s="53" t="str">
        <f>IF($A93="","",VLOOKUP($A93,'Annex 2 Designated EHV charges'!$A:$O,2,0))</f>
        <v/>
      </c>
      <c r="C93" s="61" t="str">
        <f>IF($A93="","",VLOOKUP($A93,'Annex 2 Designated EHV charges'!$A:$O,3,0))</f>
        <v/>
      </c>
      <c r="D93" s="61" t="str">
        <f>IF($A93="","",VLOOKUP($A93,'Annex 2 Designated EHV charges'!$A:$O,7,0))</f>
        <v/>
      </c>
      <c r="E93" s="62" t="str">
        <f>IFERROR(IF(VLOOKUP($A93,'Annex 2 Designated EHV charges'!$A:$P,9,FALSE)=0,"",VLOOKUP($A93,'Annex 2 Designated EHV charges'!$A:$P,9,FALSE)),"")</f>
        <v/>
      </c>
      <c r="F93" s="208" t="str">
        <f>IFERROR(IF(VLOOKUP($A93,'Annex 2 Designated EHV charges'!$A:$P,10,FALSE)=0,"",VLOOKUP($A93,'Annex 2 Designated EHV charges'!$A:$P,10,FALSE)),"")</f>
        <v/>
      </c>
      <c r="G93" s="63" t="str">
        <f>IFERROR(IF(VLOOKUP($A93,'Annex 2 Designated EHV charges'!$A:$P,11,FALSE)=0,"",VLOOKUP($A93,'Annex 2 Designated EHV charges'!$A:$P,11,FALSE)),"")</f>
        <v/>
      </c>
      <c r="H93" s="53" t="str">
        <f>IFERROR(IF(VLOOKUP($A93,'Annex 2 Designated EHV charges'!$A:$P,12,FALSE)=0,"",VLOOKUP($A93,'Annex 2 Designated EHV charges'!$A:$P,12,FALSE)),"")</f>
        <v/>
      </c>
    </row>
    <row r="94" spans="1:8" x14ac:dyDescent="0.2">
      <c r="A94" s="53" t="str">
        <f t="array" ref="A94">IFERROR(INDEX('Annex 2 Designated EHV charges'!$A$11:$A$58, MATCH(0, IF(ISBLANK('Annex 2 Designated EHV charges'!$A$11:$A$58),1, COUNTIF(A$4:$A93, 'Annex 2 Designated EHV charges'!$A$11:$A$58)), 0)),"")</f>
        <v/>
      </c>
      <c r="B94" s="53" t="str">
        <f>IF($A94="","",VLOOKUP($A94,'Annex 2 Designated EHV charges'!$A:$O,2,0))</f>
        <v/>
      </c>
      <c r="C94" s="61" t="str">
        <f>IF($A94="","",VLOOKUP($A94,'Annex 2 Designated EHV charges'!$A:$O,3,0))</f>
        <v/>
      </c>
      <c r="D94" s="61" t="str">
        <f>IF($A94="","",VLOOKUP($A94,'Annex 2 Designated EHV charges'!$A:$O,7,0))</f>
        <v/>
      </c>
      <c r="E94" s="62" t="str">
        <f>IFERROR(IF(VLOOKUP($A94,'Annex 2 Designated EHV charges'!$A:$P,9,FALSE)=0,"",VLOOKUP($A94,'Annex 2 Designated EHV charges'!$A:$P,9,FALSE)),"")</f>
        <v/>
      </c>
      <c r="F94" s="208" t="str">
        <f>IFERROR(IF(VLOOKUP($A94,'Annex 2 Designated EHV charges'!$A:$P,10,FALSE)=0,"",VLOOKUP($A94,'Annex 2 Designated EHV charges'!$A:$P,10,FALSE)),"")</f>
        <v/>
      </c>
      <c r="G94" s="63" t="str">
        <f>IFERROR(IF(VLOOKUP($A94,'Annex 2 Designated EHV charges'!$A:$P,11,FALSE)=0,"",VLOOKUP($A94,'Annex 2 Designated EHV charges'!$A:$P,11,FALSE)),"")</f>
        <v/>
      </c>
      <c r="H94" s="53" t="str">
        <f>IFERROR(IF(VLOOKUP($A94,'Annex 2 Designated EHV charges'!$A:$P,12,FALSE)=0,"",VLOOKUP($A94,'Annex 2 Designated EHV charges'!$A:$P,12,FALSE)),"")</f>
        <v/>
      </c>
    </row>
    <row r="95" spans="1:8" x14ac:dyDescent="0.2">
      <c r="A95" s="53" t="str">
        <f t="array" ref="A95">IFERROR(INDEX('Annex 2 Designated EHV charges'!$A$11:$A$58, MATCH(0, IF(ISBLANK('Annex 2 Designated EHV charges'!$A$11:$A$58),1, COUNTIF(A$4:$A94, 'Annex 2 Designated EHV charges'!$A$11:$A$58)), 0)),"")</f>
        <v/>
      </c>
      <c r="B95" s="53" t="str">
        <f>IF($A95="","",VLOOKUP($A95,'Annex 2 Designated EHV charges'!$A:$O,2,0))</f>
        <v/>
      </c>
      <c r="C95" s="61" t="str">
        <f>IF($A95="","",VLOOKUP($A95,'Annex 2 Designated EHV charges'!$A:$O,3,0))</f>
        <v/>
      </c>
      <c r="D95" s="61" t="str">
        <f>IF($A95="","",VLOOKUP($A95,'Annex 2 Designated EHV charges'!$A:$O,7,0))</f>
        <v/>
      </c>
      <c r="E95" s="62" t="str">
        <f>IFERROR(IF(VLOOKUP($A95,'Annex 2 Designated EHV charges'!$A:$P,9,FALSE)=0,"",VLOOKUP($A95,'Annex 2 Designated EHV charges'!$A:$P,9,FALSE)),"")</f>
        <v/>
      </c>
      <c r="F95" s="208" t="str">
        <f>IFERROR(IF(VLOOKUP($A95,'Annex 2 Designated EHV charges'!$A:$P,10,FALSE)=0,"",VLOOKUP($A95,'Annex 2 Designated EHV charges'!$A:$P,10,FALSE)),"")</f>
        <v/>
      </c>
      <c r="G95" s="63" t="str">
        <f>IFERROR(IF(VLOOKUP($A95,'Annex 2 Designated EHV charges'!$A:$P,11,FALSE)=0,"",VLOOKUP($A95,'Annex 2 Designated EHV charges'!$A:$P,11,FALSE)),"")</f>
        <v/>
      </c>
      <c r="H95" s="53" t="str">
        <f>IFERROR(IF(VLOOKUP($A95,'Annex 2 Designated EHV charges'!$A:$P,12,FALSE)=0,"",VLOOKUP($A95,'Annex 2 Designated EHV charges'!$A:$P,12,FALSE)),"")</f>
        <v/>
      </c>
    </row>
    <row r="96" spans="1:8" x14ac:dyDescent="0.2">
      <c r="A96" s="53" t="str">
        <f t="array" ref="A96">IFERROR(INDEX('Annex 2 Designated EHV charges'!$A$11:$A$58, MATCH(0, IF(ISBLANK('Annex 2 Designated EHV charges'!$A$11:$A$58),1, COUNTIF(A$4:$A95, 'Annex 2 Designated EHV charges'!$A$11:$A$58)), 0)),"")</f>
        <v/>
      </c>
      <c r="B96" s="53" t="str">
        <f>IF($A96="","",VLOOKUP($A96,'Annex 2 Designated EHV charges'!$A:$O,2,0))</f>
        <v/>
      </c>
      <c r="C96" s="61" t="str">
        <f>IF($A96="","",VLOOKUP($A96,'Annex 2 Designated EHV charges'!$A:$O,3,0))</f>
        <v/>
      </c>
      <c r="D96" s="61" t="str">
        <f>IF($A96="","",VLOOKUP($A96,'Annex 2 Designated EHV charges'!$A:$O,7,0))</f>
        <v/>
      </c>
      <c r="E96" s="62" t="str">
        <f>IFERROR(IF(VLOOKUP($A96,'Annex 2 Designated EHV charges'!$A:$P,9,FALSE)=0,"",VLOOKUP($A96,'Annex 2 Designated EHV charges'!$A:$P,9,FALSE)),"")</f>
        <v/>
      </c>
      <c r="F96" s="208" t="str">
        <f>IFERROR(IF(VLOOKUP($A96,'Annex 2 Designated EHV charges'!$A:$P,10,FALSE)=0,"",VLOOKUP($A96,'Annex 2 Designated EHV charges'!$A:$P,10,FALSE)),"")</f>
        <v/>
      </c>
      <c r="G96" s="63" t="str">
        <f>IFERROR(IF(VLOOKUP($A96,'Annex 2 Designated EHV charges'!$A:$P,11,FALSE)=0,"",VLOOKUP($A96,'Annex 2 Designated EHV charges'!$A:$P,11,FALSE)),"")</f>
        <v/>
      </c>
      <c r="H96" s="53" t="str">
        <f>IFERROR(IF(VLOOKUP($A96,'Annex 2 Designated EHV charges'!$A:$P,12,FALSE)=0,"",VLOOKUP($A96,'Annex 2 Designated EHV charges'!$A:$P,12,FALSE)),"")</f>
        <v/>
      </c>
    </row>
    <row r="97" spans="1:8" x14ac:dyDescent="0.2">
      <c r="A97" s="53" t="str">
        <f t="array" ref="A97">IFERROR(INDEX('Annex 2 Designated EHV charges'!$A$11:$A$58, MATCH(0, IF(ISBLANK('Annex 2 Designated EHV charges'!$A$11:$A$58),1, COUNTIF(A$4:$A96, 'Annex 2 Designated EHV charges'!$A$11:$A$58)), 0)),"")</f>
        <v/>
      </c>
      <c r="B97" s="53" t="str">
        <f>IF($A97="","",VLOOKUP($A97,'Annex 2 Designated EHV charges'!$A:$O,2,0))</f>
        <v/>
      </c>
      <c r="C97" s="61" t="str">
        <f>IF($A97="","",VLOOKUP($A97,'Annex 2 Designated EHV charges'!$A:$O,3,0))</f>
        <v/>
      </c>
      <c r="D97" s="61" t="str">
        <f>IF($A97="","",VLOOKUP($A97,'Annex 2 Designated EHV charges'!$A:$O,7,0))</f>
        <v/>
      </c>
      <c r="E97" s="62" t="str">
        <f>IFERROR(IF(VLOOKUP($A97,'Annex 2 Designated EHV charges'!$A:$P,9,FALSE)=0,"",VLOOKUP($A97,'Annex 2 Designated EHV charges'!$A:$P,9,FALSE)),"")</f>
        <v/>
      </c>
      <c r="F97" s="208" t="str">
        <f>IFERROR(IF(VLOOKUP($A97,'Annex 2 Designated EHV charges'!$A:$P,10,FALSE)=0,"",VLOOKUP($A97,'Annex 2 Designated EHV charges'!$A:$P,10,FALSE)),"")</f>
        <v/>
      </c>
      <c r="G97" s="63" t="str">
        <f>IFERROR(IF(VLOOKUP($A97,'Annex 2 Designated EHV charges'!$A:$P,11,FALSE)=0,"",VLOOKUP($A97,'Annex 2 Designated EHV charges'!$A:$P,11,FALSE)),"")</f>
        <v/>
      </c>
      <c r="H97" s="53" t="str">
        <f>IFERROR(IF(VLOOKUP($A97,'Annex 2 Designated EHV charges'!$A:$P,12,FALSE)=0,"",VLOOKUP($A97,'Annex 2 Designated EHV charges'!$A:$P,12,FALSE)),"")</f>
        <v/>
      </c>
    </row>
    <row r="98" spans="1:8" x14ac:dyDescent="0.2">
      <c r="A98" s="53" t="str">
        <f t="array" ref="A98">IFERROR(INDEX('Annex 2 Designated EHV charges'!$A$11:$A$58, MATCH(0, IF(ISBLANK('Annex 2 Designated EHV charges'!$A$11:$A$58),1, COUNTIF(A$4:$A97, 'Annex 2 Designated EHV charges'!$A$11:$A$58)), 0)),"")</f>
        <v/>
      </c>
      <c r="B98" s="53" t="str">
        <f>IF($A98="","",VLOOKUP($A98,'Annex 2 Designated EHV charges'!$A:$O,2,0))</f>
        <v/>
      </c>
      <c r="C98" s="61" t="str">
        <f>IF($A98="","",VLOOKUP($A98,'Annex 2 Designated EHV charges'!$A:$O,3,0))</f>
        <v/>
      </c>
      <c r="D98" s="61" t="str">
        <f>IF($A98="","",VLOOKUP($A98,'Annex 2 Designated EHV charges'!$A:$O,7,0))</f>
        <v/>
      </c>
      <c r="E98" s="62" t="str">
        <f>IFERROR(IF(VLOOKUP($A98,'Annex 2 Designated EHV charges'!$A:$P,9,FALSE)=0,"",VLOOKUP($A98,'Annex 2 Designated EHV charges'!$A:$P,9,FALSE)),"")</f>
        <v/>
      </c>
      <c r="F98" s="208" t="str">
        <f>IFERROR(IF(VLOOKUP($A98,'Annex 2 Designated EHV charges'!$A:$P,10,FALSE)=0,"",VLOOKUP($A98,'Annex 2 Designated EHV charges'!$A:$P,10,FALSE)),"")</f>
        <v/>
      </c>
      <c r="G98" s="63" t="str">
        <f>IFERROR(IF(VLOOKUP($A98,'Annex 2 Designated EHV charges'!$A:$P,11,FALSE)=0,"",VLOOKUP($A98,'Annex 2 Designated EHV charges'!$A:$P,11,FALSE)),"")</f>
        <v/>
      </c>
      <c r="H98" s="53" t="str">
        <f>IFERROR(IF(VLOOKUP($A98,'Annex 2 Designated EHV charges'!$A:$P,12,FALSE)=0,"",VLOOKUP($A98,'Annex 2 Designated EHV charges'!$A:$P,12,FALSE)),"")</f>
        <v/>
      </c>
    </row>
    <row r="99" spans="1:8" x14ac:dyDescent="0.2">
      <c r="A99" s="53" t="str">
        <f t="array" ref="A99">IFERROR(INDEX('Annex 2 Designated EHV charges'!$A$11:$A$58, MATCH(0, IF(ISBLANK('Annex 2 Designated EHV charges'!$A$11:$A$58),1, COUNTIF(A$4:$A98, 'Annex 2 Designated EHV charges'!$A$11:$A$58)), 0)),"")</f>
        <v/>
      </c>
      <c r="B99" s="53" t="str">
        <f>IF($A99="","",VLOOKUP($A99,'Annex 2 Designated EHV charges'!$A:$O,2,0))</f>
        <v/>
      </c>
      <c r="C99" s="61" t="str">
        <f>IF($A99="","",VLOOKUP($A99,'Annex 2 Designated EHV charges'!$A:$O,3,0))</f>
        <v/>
      </c>
      <c r="D99" s="61" t="str">
        <f>IF($A99="","",VLOOKUP($A99,'Annex 2 Designated EHV charges'!$A:$O,7,0))</f>
        <v/>
      </c>
      <c r="E99" s="62" t="str">
        <f>IFERROR(IF(VLOOKUP($A99,'Annex 2 Designated EHV charges'!$A:$P,9,FALSE)=0,"",VLOOKUP($A99,'Annex 2 Designated EHV charges'!$A:$P,9,FALSE)),"")</f>
        <v/>
      </c>
      <c r="F99" s="208" t="str">
        <f>IFERROR(IF(VLOOKUP($A99,'Annex 2 Designated EHV charges'!$A:$P,10,FALSE)=0,"",VLOOKUP($A99,'Annex 2 Designated EHV charges'!$A:$P,10,FALSE)),"")</f>
        <v/>
      </c>
      <c r="G99" s="63" t="str">
        <f>IFERROR(IF(VLOOKUP($A99,'Annex 2 Designated EHV charges'!$A:$P,11,FALSE)=0,"",VLOOKUP($A99,'Annex 2 Designated EHV charges'!$A:$P,11,FALSE)),"")</f>
        <v/>
      </c>
      <c r="H99" s="53" t="str">
        <f>IFERROR(IF(VLOOKUP($A99,'Annex 2 Designated EHV charges'!$A:$P,12,FALSE)=0,"",VLOOKUP($A99,'Annex 2 Designated EHV charges'!$A:$P,12,FALSE)),"")</f>
        <v/>
      </c>
    </row>
    <row r="100" spans="1:8" x14ac:dyDescent="0.2">
      <c r="A100" s="53" t="str">
        <f t="array" ref="A100">IFERROR(INDEX('Annex 2 Designated EHV charges'!$A$11:$A$58, MATCH(0, IF(ISBLANK('Annex 2 Designated EHV charges'!$A$11:$A$58),1, COUNTIF(A$4:$A99, 'Annex 2 Designated EHV charges'!$A$11:$A$58)), 0)),"")</f>
        <v/>
      </c>
      <c r="B100" s="53" t="str">
        <f>IF($A100="","",VLOOKUP($A100,'Annex 2 Designated EHV charges'!$A:$O,2,0))</f>
        <v/>
      </c>
      <c r="C100" s="61" t="str">
        <f>IF($A100="","",VLOOKUP($A100,'Annex 2 Designated EHV charges'!$A:$O,3,0))</f>
        <v/>
      </c>
      <c r="D100" s="61" t="str">
        <f>IF($A100="","",VLOOKUP($A100,'Annex 2 Designated EHV charges'!$A:$O,7,0))</f>
        <v/>
      </c>
      <c r="E100" s="62" t="str">
        <f>IFERROR(IF(VLOOKUP($A100,'Annex 2 Designated EHV charges'!$A:$P,9,FALSE)=0,"",VLOOKUP($A100,'Annex 2 Designated EHV charges'!$A:$P,9,FALSE)),"")</f>
        <v/>
      </c>
      <c r="F100" s="208" t="str">
        <f>IFERROR(IF(VLOOKUP($A100,'Annex 2 Designated EHV charges'!$A:$P,10,FALSE)=0,"",VLOOKUP($A100,'Annex 2 Designated EHV charges'!$A:$P,10,FALSE)),"")</f>
        <v/>
      </c>
      <c r="G100" s="63" t="str">
        <f>IFERROR(IF(VLOOKUP($A100,'Annex 2 Designated EHV charges'!$A:$P,11,FALSE)=0,"",VLOOKUP($A100,'Annex 2 Designated EHV charges'!$A:$P,11,FALSE)),"")</f>
        <v/>
      </c>
      <c r="H100" s="53" t="str">
        <f>IFERROR(IF(VLOOKUP($A100,'Annex 2 Designated EHV charges'!$A:$P,12,FALSE)=0,"",VLOOKUP($A100,'Annex 2 Designated EHV charges'!$A:$P,12,FALSE)),"")</f>
        <v/>
      </c>
    </row>
    <row r="101" spans="1:8" x14ac:dyDescent="0.2">
      <c r="A101" s="53" t="str">
        <f t="array" ref="A101">IFERROR(INDEX('Annex 2 Designated EHV charges'!$A$11:$A$58, MATCH(0, IF(ISBLANK('Annex 2 Designated EHV charges'!$A$11:$A$58),1, COUNTIF(A$4:$A100, 'Annex 2 Designated EHV charges'!$A$11:$A$58)), 0)),"")</f>
        <v/>
      </c>
      <c r="B101" s="53" t="str">
        <f>IF($A101="","",VLOOKUP($A101,'Annex 2 Designated EHV charges'!$A:$O,2,0))</f>
        <v/>
      </c>
      <c r="C101" s="61" t="str">
        <f>IF($A101="","",VLOOKUP($A101,'Annex 2 Designated EHV charges'!$A:$O,3,0))</f>
        <v/>
      </c>
      <c r="D101" s="61" t="str">
        <f>IF($A101="","",VLOOKUP($A101,'Annex 2 Designated EHV charges'!$A:$O,7,0))</f>
        <v/>
      </c>
      <c r="E101" s="62" t="str">
        <f>IFERROR(IF(VLOOKUP($A101,'Annex 2 Designated EHV charges'!$A:$P,9,FALSE)=0,"",VLOOKUP($A101,'Annex 2 Designated EHV charges'!$A:$P,9,FALSE)),"")</f>
        <v/>
      </c>
      <c r="F101" s="208" t="str">
        <f>IFERROR(IF(VLOOKUP($A101,'Annex 2 Designated EHV charges'!$A:$P,10,FALSE)=0,"",VLOOKUP($A101,'Annex 2 Designated EHV charges'!$A:$P,10,FALSE)),"")</f>
        <v/>
      </c>
      <c r="G101" s="63" t="str">
        <f>IFERROR(IF(VLOOKUP($A101,'Annex 2 Designated EHV charges'!$A:$P,11,FALSE)=0,"",VLOOKUP($A101,'Annex 2 Designated EHV charges'!$A:$P,11,FALSE)),"")</f>
        <v/>
      </c>
      <c r="H101" s="53" t="str">
        <f>IFERROR(IF(VLOOKUP($A101,'Annex 2 Designated EHV charges'!$A:$P,12,FALSE)=0,"",VLOOKUP($A101,'Annex 2 Designated EHV charges'!$A:$P,12,FALSE)),"")</f>
        <v/>
      </c>
    </row>
    <row r="102" spans="1:8" x14ac:dyDescent="0.2">
      <c r="A102" s="53" t="str">
        <f t="array" ref="A102">IFERROR(INDEX('Annex 2 Designated EHV charges'!$A$11:$A$58, MATCH(0, IF(ISBLANK('Annex 2 Designated EHV charges'!$A$11:$A$58),1, COUNTIF(A$4:$A101, 'Annex 2 Designated EHV charges'!$A$11:$A$58)), 0)),"")</f>
        <v/>
      </c>
      <c r="B102" s="53" t="str">
        <f>IF($A102="","",VLOOKUP($A102,'Annex 2 Designated EHV charges'!$A:$O,2,0))</f>
        <v/>
      </c>
      <c r="C102" s="61" t="str">
        <f>IF($A102="","",VLOOKUP($A102,'Annex 2 Designated EHV charges'!$A:$O,3,0))</f>
        <v/>
      </c>
      <c r="D102" s="61" t="str">
        <f>IF($A102="","",VLOOKUP($A102,'Annex 2 Designated EHV charges'!$A:$O,7,0))</f>
        <v/>
      </c>
      <c r="E102" s="62" t="str">
        <f>IFERROR(IF(VLOOKUP($A102,'Annex 2 Designated EHV charges'!$A:$P,9,FALSE)=0,"",VLOOKUP($A102,'Annex 2 Designated EHV charges'!$A:$P,9,FALSE)),"")</f>
        <v/>
      </c>
      <c r="F102" s="208" t="str">
        <f>IFERROR(IF(VLOOKUP($A102,'Annex 2 Designated EHV charges'!$A:$P,10,FALSE)=0,"",VLOOKUP($A102,'Annex 2 Designated EHV charges'!$A:$P,10,FALSE)),"")</f>
        <v/>
      </c>
      <c r="G102" s="63" t="str">
        <f>IFERROR(IF(VLOOKUP($A102,'Annex 2 Designated EHV charges'!$A:$P,11,FALSE)=0,"",VLOOKUP($A102,'Annex 2 Designated EHV charges'!$A:$P,11,FALSE)),"")</f>
        <v/>
      </c>
      <c r="H102" s="53" t="str">
        <f>IFERROR(IF(VLOOKUP($A102,'Annex 2 Designated EHV charges'!$A:$P,12,FALSE)=0,"",VLOOKUP($A102,'Annex 2 Designated EHV charges'!$A:$P,12,FALSE)),"")</f>
        <v/>
      </c>
    </row>
    <row r="103" spans="1:8" x14ac:dyDescent="0.2">
      <c r="A103" s="53" t="str">
        <f t="array" ref="A103">IFERROR(INDEX('Annex 2 Designated EHV charges'!$A$11:$A$58, MATCH(0, IF(ISBLANK('Annex 2 Designated EHV charges'!$A$11:$A$58),1, COUNTIF(A$4:$A102, 'Annex 2 Designated EHV charges'!$A$11:$A$58)), 0)),"")</f>
        <v/>
      </c>
      <c r="B103" s="53" t="str">
        <f>IF($A103="","",VLOOKUP($A103,'Annex 2 Designated EHV charges'!$A:$O,2,0))</f>
        <v/>
      </c>
      <c r="C103" s="61" t="str">
        <f>IF($A103="","",VLOOKUP($A103,'Annex 2 Designated EHV charges'!$A:$O,3,0))</f>
        <v/>
      </c>
      <c r="D103" s="61" t="str">
        <f>IF($A103="","",VLOOKUP($A103,'Annex 2 Designated EHV charges'!$A:$O,7,0))</f>
        <v/>
      </c>
      <c r="E103" s="62" t="str">
        <f>IFERROR(IF(VLOOKUP($A103,'Annex 2 Designated EHV charges'!$A:$P,9,FALSE)=0,"",VLOOKUP($A103,'Annex 2 Designated EHV charges'!$A:$P,9,FALSE)),"")</f>
        <v/>
      </c>
      <c r="F103" s="208" t="str">
        <f>IFERROR(IF(VLOOKUP($A103,'Annex 2 Designated EHV charges'!$A:$P,10,FALSE)=0,"",VLOOKUP($A103,'Annex 2 Designated EHV charges'!$A:$P,10,FALSE)),"")</f>
        <v/>
      </c>
      <c r="G103" s="63" t="str">
        <f>IFERROR(IF(VLOOKUP($A103,'Annex 2 Designated EHV charges'!$A:$P,11,FALSE)=0,"",VLOOKUP($A103,'Annex 2 Designated EHV charges'!$A:$P,11,FALSE)),"")</f>
        <v/>
      </c>
      <c r="H103" s="53" t="str">
        <f>IFERROR(IF(VLOOKUP($A103,'Annex 2 Designated EHV charges'!$A:$P,12,FALSE)=0,"",VLOOKUP($A103,'Annex 2 Designated EHV charges'!$A:$P,12,FALSE)),"")</f>
        <v/>
      </c>
    </row>
    <row r="104" spans="1:8" x14ac:dyDescent="0.2">
      <c r="A104" s="53" t="str">
        <f t="array" ref="A104">IFERROR(INDEX('Annex 2 Designated EHV charges'!$A$11:$A$58, MATCH(0, IF(ISBLANK('Annex 2 Designated EHV charges'!$A$11:$A$58),1, COUNTIF(A$4:$A103, 'Annex 2 Designated EHV charges'!$A$11:$A$58)), 0)),"")</f>
        <v/>
      </c>
      <c r="B104" s="53" t="str">
        <f>IF($A104="","",VLOOKUP($A104,'Annex 2 Designated EHV charges'!$A:$O,2,0))</f>
        <v/>
      </c>
      <c r="C104" s="61" t="str">
        <f>IF($A104="","",VLOOKUP($A104,'Annex 2 Designated EHV charges'!$A:$O,3,0))</f>
        <v/>
      </c>
      <c r="D104" s="61" t="str">
        <f>IF($A104="","",VLOOKUP($A104,'Annex 2 Designated EHV charges'!$A:$O,7,0))</f>
        <v/>
      </c>
      <c r="E104" s="62" t="str">
        <f>IFERROR(IF(VLOOKUP($A104,'Annex 2 Designated EHV charges'!$A:$P,9,FALSE)=0,"",VLOOKUP($A104,'Annex 2 Designated EHV charges'!$A:$P,9,FALSE)),"")</f>
        <v/>
      </c>
      <c r="F104" s="208" t="str">
        <f>IFERROR(IF(VLOOKUP($A104,'Annex 2 Designated EHV charges'!$A:$P,10,FALSE)=0,"",VLOOKUP($A104,'Annex 2 Designated EHV charges'!$A:$P,10,FALSE)),"")</f>
        <v/>
      </c>
      <c r="G104" s="63" t="str">
        <f>IFERROR(IF(VLOOKUP($A104,'Annex 2 Designated EHV charges'!$A:$P,11,FALSE)=0,"",VLOOKUP($A104,'Annex 2 Designated EHV charges'!$A:$P,11,FALSE)),"")</f>
        <v/>
      </c>
      <c r="H104" s="53" t="str">
        <f>IFERROR(IF(VLOOKUP($A104,'Annex 2 Designated EHV charges'!$A:$P,12,FALSE)=0,"",VLOOKUP($A104,'Annex 2 Designated EHV charges'!$A:$P,12,FALSE)),"")</f>
        <v/>
      </c>
    </row>
    <row r="105" spans="1:8" x14ac:dyDescent="0.2">
      <c r="A105" s="53" t="str">
        <f t="array" ref="A105">IFERROR(INDEX('Annex 2 Designated EHV charges'!$A$11:$A$58, MATCH(0, IF(ISBLANK('Annex 2 Designated EHV charges'!$A$11:$A$58),1, COUNTIF(A$4:$A104, 'Annex 2 Designated EHV charges'!$A$11:$A$58)), 0)),"")</f>
        <v/>
      </c>
      <c r="B105" s="53" t="str">
        <f>IF($A105="","",VLOOKUP($A105,'Annex 2 Designated EHV charges'!$A:$O,2,0))</f>
        <v/>
      </c>
      <c r="C105" s="61" t="str">
        <f>IF($A105="","",VLOOKUP($A105,'Annex 2 Designated EHV charges'!$A:$O,3,0))</f>
        <v/>
      </c>
      <c r="D105" s="61" t="str">
        <f>IF($A105="","",VLOOKUP($A105,'Annex 2 Designated EHV charges'!$A:$O,7,0))</f>
        <v/>
      </c>
      <c r="E105" s="62" t="str">
        <f>IFERROR(IF(VLOOKUP($A105,'Annex 2 Designated EHV charges'!$A:$P,9,FALSE)=0,"",VLOOKUP($A105,'Annex 2 Designated EHV charges'!$A:$P,9,FALSE)),"")</f>
        <v/>
      </c>
      <c r="F105" s="208" t="str">
        <f>IFERROR(IF(VLOOKUP($A105,'Annex 2 Designated EHV charges'!$A:$P,10,FALSE)=0,"",VLOOKUP($A105,'Annex 2 Designated EHV charges'!$A:$P,10,FALSE)),"")</f>
        <v/>
      </c>
      <c r="G105" s="63" t="str">
        <f>IFERROR(IF(VLOOKUP($A105,'Annex 2 Designated EHV charges'!$A:$P,11,FALSE)=0,"",VLOOKUP($A105,'Annex 2 Designated EHV charges'!$A:$P,11,FALSE)),"")</f>
        <v/>
      </c>
      <c r="H105" s="53" t="str">
        <f>IFERROR(IF(VLOOKUP($A105,'Annex 2 Designated EHV charges'!$A:$P,12,FALSE)=0,"",VLOOKUP($A105,'Annex 2 Designated EHV charges'!$A:$P,12,FALSE)),"")</f>
        <v/>
      </c>
    </row>
    <row r="106" spans="1:8" x14ac:dyDescent="0.2">
      <c r="A106" s="53" t="str">
        <f t="array" ref="A106">IFERROR(INDEX('Annex 2 Designated EHV charges'!$A$11:$A$58, MATCH(0, IF(ISBLANK('Annex 2 Designated EHV charges'!$A$11:$A$58),1, COUNTIF(A$4:$A105, 'Annex 2 Designated EHV charges'!$A$11:$A$58)), 0)),"")</f>
        <v/>
      </c>
      <c r="B106" s="53" t="str">
        <f>IF($A106="","",VLOOKUP($A106,'Annex 2 Designated EHV charges'!$A:$O,2,0))</f>
        <v/>
      </c>
      <c r="C106" s="61" t="str">
        <f>IF($A106="","",VLOOKUP($A106,'Annex 2 Designated EHV charges'!$A:$O,3,0))</f>
        <v/>
      </c>
      <c r="D106" s="61" t="str">
        <f>IF($A106="","",VLOOKUP($A106,'Annex 2 Designated EHV charges'!$A:$O,7,0))</f>
        <v/>
      </c>
      <c r="E106" s="62" t="str">
        <f>IFERROR(IF(VLOOKUP($A106,'Annex 2 Designated EHV charges'!$A:$P,9,FALSE)=0,"",VLOOKUP($A106,'Annex 2 Designated EHV charges'!$A:$P,9,FALSE)),"")</f>
        <v/>
      </c>
      <c r="F106" s="208" t="str">
        <f>IFERROR(IF(VLOOKUP($A106,'Annex 2 Designated EHV charges'!$A:$P,10,FALSE)=0,"",VLOOKUP($A106,'Annex 2 Designated EHV charges'!$A:$P,10,FALSE)),"")</f>
        <v/>
      </c>
      <c r="G106" s="63" t="str">
        <f>IFERROR(IF(VLOOKUP($A106,'Annex 2 Designated EHV charges'!$A:$P,11,FALSE)=0,"",VLOOKUP($A106,'Annex 2 Designated EHV charges'!$A:$P,11,FALSE)),"")</f>
        <v/>
      </c>
      <c r="H106" s="53" t="str">
        <f>IFERROR(IF(VLOOKUP($A106,'Annex 2 Designated EHV charges'!$A:$P,12,FALSE)=0,"",VLOOKUP($A106,'Annex 2 Designated EHV charges'!$A:$P,12,FALSE)),"")</f>
        <v/>
      </c>
    </row>
    <row r="107" spans="1:8" x14ac:dyDescent="0.2">
      <c r="A107" s="53" t="str">
        <f t="array" ref="A107">IFERROR(INDEX('Annex 2 Designated EHV charges'!$A$11:$A$58, MATCH(0, IF(ISBLANK('Annex 2 Designated EHV charges'!$A$11:$A$58),1, COUNTIF(A$4:$A106, 'Annex 2 Designated EHV charges'!$A$11:$A$58)), 0)),"")</f>
        <v/>
      </c>
      <c r="B107" s="53" t="str">
        <f>IF($A107="","",VLOOKUP($A107,'Annex 2 Designated EHV charges'!$A:$O,2,0))</f>
        <v/>
      </c>
      <c r="C107" s="61" t="str">
        <f>IF($A107="","",VLOOKUP($A107,'Annex 2 Designated EHV charges'!$A:$O,3,0))</f>
        <v/>
      </c>
      <c r="D107" s="61" t="str">
        <f>IF($A107="","",VLOOKUP($A107,'Annex 2 Designated EHV charges'!$A:$O,7,0))</f>
        <v/>
      </c>
      <c r="E107" s="62" t="str">
        <f>IFERROR(IF(VLOOKUP($A107,'Annex 2 Designated EHV charges'!$A:$P,9,FALSE)=0,"",VLOOKUP($A107,'Annex 2 Designated EHV charges'!$A:$P,9,FALSE)),"")</f>
        <v/>
      </c>
      <c r="F107" s="208" t="str">
        <f>IFERROR(IF(VLOOKUP($A107,'Annex 2 Designated EHV charges'!$A:$P,10,FALSE)=0,"",VLOOKUP($A107,'Annex 2 Designated EHV charges'!$A:$P,10,FALSE)),"")</f>
        <v/>
      </c>
      <c r="G107" s="63" t="str">
        <f>IFERROR(IF(VLOOKUP($A107,'Annex 2 Designated EHV charges'!$A:$P,11,FALSE)=0,"",VLOOKUP($A107,'Annex 2 Designated EHV charges'!$A:$P,11,FALSE)),"")</f>
        <v/>
      </c>
      <c r="H107" s="53" t="str">
        <f>IFERROR(IF(VLOOKUP($A107,'Annex 2 Designated EHV charges'!$A:$P,12,FALSE)=0,"",VLOOKUP($A107,'Annex 2 Designated EHV charges'!$A:$P,12,FALSE)),"")</f>
        <v/>
      </c>
    </row>
    <row r="108" spans="1:8" x14ac:dyDescent="0.2">
      <c r="A108" s="53" t="str">
        <f t="array" ref="A108">IFERROR(INDEX('Annex 2 Designated EHV charges'!$A$11:$A$58, MATCH(0, IF(ISBLANK('Annex 2 Designated EHV charges'!$A$11:$A$58),1, COUNTIF(A$4:$A107, 'Annex 2 Designated EHV charges'!$A$11:$A$58)), 0)),"")</f>
        <v/>
      </c>
      <c r="B108" s="53" t="str">
        <f>IF($A108="","",VLOOKUP($A108,'Annex 2 Designated EHV charges'!$A:$O,2,0))</f>
        <v/>
      </c>
      <c r="C108" s="61" t="str">
        <f>IF($A108="","",VLOOKUP($A108,'Annex 2 Designated EHV charges'!$A:$O,3,0))</f>
        <v/>
      </c>
      <c r="D108" s="61" t="str">
        <f>IF($A108="","",VLOOKUP($A108,'Annex 2 Designated EHV charges'!$A:$O,7,0))</f>
        <v/>
      </c>
      <c r="E108" s="62" t="str">
        <f>IFERROR(IF(VLOOKUP($A108,'Annex 2 Designated EHV charges'!$A:$P,9,FALSE)=0,"",VLOOKUP($A108,'Annex 2 Designated EHV charges'!$A:$P,9,FALSE)),"")</f>
        <v/>
      </c>
      <c r="F108" s="208" t="str">
        <f>IFERROR(IF(VLOOKUP($A108,'Annex 2 Designated EHV charges'!$A:$P,10,FALSE)=0,"",VLOOKUP($A108,'Annex 2 Designated EHV charges'!$A:$P,10,FALSE)),"")</f>
        <v/>
      </c>
      <c r="G108" s="63" t="str">
        <f>IFERROR(IF(VLOOKUP($A108,'Annex 2 Designated EHV charges'!$A:$P,11,FALSE)=0,"",VLOOKUP($A108,'Annex 2 Designated EHV charges'!$A:$P,11,FALSE)),"")</f>
        <v/>
      </c>
      <c r="H108" s="53" t="str">
        <f>IFERROR(IF(VLOOKUP($A108,'Annex 2 Designated EHV charges'!$A:$P,12,FALSE)=0,"",VLOOKUP($A108,'Annex 2 Designated EHV charges'!$A:$P,12,FALSE)),"")</f>
        <v/>
      </c>
    </row>
    <row r="109" spans="1:8" x14ac:dyDescent="0.2">
      <c r="A109" s="53" t="str">
        <f t="array" ref="A109">IFERROR(INDEX('Annex 2 Designated EHV charges'!$A$11:$A$58, MATCH(0, IF(ISBLANK('Annex 2 Designated EHV charges'!$A$11:$A$58),1, COUNTIF(A$4:$A108, 'Annex 2 Designated EHV charges'!$A$11:$A$58)), 0)),"")</f>
        <v/>
      </c>
      <c r="B109" s="53" t="str">
        <f>IF($A109="","",VLOOKUP($A109,'Annex 2 Designated EHV charges'!$A:$O,2,0))</f>
        <v/>
      </c>
      <c r="C109" s="61" t="str">
        <f>IF($A109="","",VLOOKUP($A109,'Annex 2 Designated EHV charges'!$A:$O,3,0))</f>
        <v/>
      </c>
      <c r="D109" s="61" t="str">
        <f>IF($A109="","",VLOOKUP($A109,'Annex 2 Designated EHV charges'!$A:$O,7,0))</f>
        <v/>
      </c>
      <c r="E109" s="62" t="str">
        <f>IFERROR(IF(VLOOKUP($A109,'Annex 2 Designated EHV charges'!$A:$P,9,FALSE)=0,"",VLOOKUP($A109,'Annex 2 Designated EHV charges'!$A:$P,9,FALSE)),"")</f>
        <v/>
      </c>
      <c r="F109" s="208" t="str">
        <f>IFERROR(IF(VLOOKUP($A109,'Annex 2 Designated EHV charges'!$A:$P,10,FALSE)=0,"",VLOOKUP($A109,'Annex 2 Designated EHV charges'!$A:$P,10,FALSE)),"")</f>
        <v/>
      </c>
      <c r="G109" s="63" t="str">
        <f>IFERROR(IF(VLOOKUP($A109,'Annex 2 Designated EHV charges'!$A:$P,11,FALSE)=0,"",VLOOKUP($A109,'Annex 2 Designated EHV charges'!$A:$P,11,FALSE)),"")</f>
        <v/>
      </c>
      <c r="H109" s="53" t="str">
        <f>IFERROR(IF(VLOOKUP($A109,'Annex 2 Designated EHV charges'!$A:$P,12,FALSE)=0,"",VLOOKUP($A109,'Annex 2 Designated EHV charges'!$A:$P,12,FALSE)),"")</f>
        <v/>
      </c>
    </row>
    <row r="110" spans="1:8" x14ac:dyDescent="0.2">
      <c r="A110" s="53" t="str">
        <f t="array" ref="A110">IFERROR(INDEX('Annex 2 Designated EHV charges'!$A$11:$A$58, MATCH(0, IF(ISBLANK('Annex 2 Designated EHV charges'!$A$11:$A$58),1, COUNTIF(A$4:$A109, 'Annex 2 Designated EHV charges'!$A$11:$A$58)), 0)),"")</f>
        <v/>
      </c>
      <c r="B110" s="53" t="str">
        <f>IF($A110="","",VLOOKUP($A110,'Annex 2 Designated EHV charges'!$A:$O,2,0))</f>
        <v/>
      </c>
      <c r="C110" s="61" t="str">
        <f>IF($A110="","",VLOOKUP($A110,'Annex 2 Designated EHV charges'!$A:$O,3,0))</f>
        <v/>
      </c>
      <c r="D110" s="61" t="str">
        <f>IF($A110="","",VLOOKUP($A110,'Annex 2 Designated EHV charges'!$A:$O,7,0))</f>
        <v/>
      </c>
      <c r="E110" s="62" t="str">
        <f>IFERROR(IF(VLOOKUP($A110,'Annex 2 Designated EHV charges'!$A:$P,9,FALSE)=0,"",VLOOKUP($A110,'Annex 2 Designated EHV charges'!$A:$P,9,FALSE)),"")</f>
        <v/>
      </c>
      <c r="F110" s="208" t="str">
        <f>IFERROR(IF(VLOOKUP($A110,'Annex 2 Designated EHV charges'!$A:$P,10,FALSE)=0,"",VLOOKUP($A110,'Annex 2 Designated EHV charges'!$A:$P,10,FALSE)),"")</f>
        <v/>
      </c>
      <c r="G110" s="63" t="str">
        <f>IFERROR(IF(VLOOKUP($A110,'Annex 2 Designated EHV charges'!$A:$P,11,FALSE)=0,"",VLOOKUP($A110,'Annex 2 Designated EHV charges'!$A:$P,11,FALSE)),"")</f>
        <v/>
      </c>
      <c r="H110" s="53" t="str">
        <f>IFERROR(IF(VLOOKUP($A110,'Annex 2 Designated EHV charges'!$A:$P,12,FALSE)=0,"",VLOOKUP($A110,'Annex 2 Designated EHV charges'!$A:$P,12,FALSE)),"")</f>
        <v/>
      </c>
    </row>
    <row r="111" spans="1:8" x14ac:dyDescent="0.2">
      <c r="A111" s="53" t="str">
        <f t="array" ref="A111">IFERROR(INDEX('Annex 2 Designated EHV charges'!$A$11:$A$58, MATCH(0, IF(ISBLANK('Annex 2 Designated EHV charges'!$A$11:$A$58),1, COUNTIF(A$4:$A110, 'Annex 2 Designated EHV charges'!$A$11:$A$58)), 0)),"")</f>
        <v/>
      </c>
      <c r="B111" s="53" t="str">
        <f>IF($A111="","",VLOOKUP($A111,'Annex 2 Designated EHV charges'!$A:$O,2,0))</f>
        <v/>
      </c>
      <c r="C111" s="61" t="str">
        <f>IF($A111="","",VLOOKUP($A111,'Annex 2 Designated EHV charges'!$A:$O,3,0))</f>
        <v/>
      </c>
      <c r="D111" s="61" t="str">
        <f>IF($A111="","",VLOOKUP($A111,'Annex 2 Designated EHV charges'!$A:$O,7,0))</f>
        <v/>
      </c>
      <c r="E111" s="62" t="str">
        <f>IFERROR(IF(VLOOKUP($A111,'Annex 2 Designated EHV charges'!$A:$P,9,FALSE)=0,"",VLOOKUP($A111,'Annex 2 Designated EHV charges'!$A:$P,9,FALSE)),"")</f>
        <v/>
      </c>
      <c r="F111" s="208" t="str">
        <f>IFERROR(IF(VLOOKUP($A111,'Annex 2 Designated EHV charges'!$A:$P,10,FALSE)=0,"",VLOOKUP($A111,'Annex 2 Designated EHV charges'!$A:$P,10,FALSE)),"")</f>
        <v/>
      </c>
      <c r="G111" s="63" t="str">
        <f>IFERROR(IF(VLOOKUP($A111,'Annex 2 Designated EHV charges'!$A:$P,11,FALSE)=0,"",VLOOKUP($A111,'Annex 2 Designated EHV charges'!$A:$P,11,FALSE)),"")</f>
        <v/>
      </c>
      <c r="H111" s="53" t="str">
        <f>IFERROR(IF(VLOOKUP($A111,'Annex 2 Designated EHV charges'!$A:$P,12,FALSE)=0,"",VLOOKUP($A111,'Annex 2 Designated EHV charges'!$A:$P,12,FALSE)),"")</f>
        <v/>
      </c>
    </row>
    <row r="112" spans="1:8" x14ac:dyDescent="0.2">
      <c r="A112" s="53" t="str">
        <f t="array" ref="A112">IFERROR(INDEX('Annex 2 Designated EHV charges'!$A$11:$A$58, MATCH(0, IF(ISBLANK('Annex 2 Designated EHV charges'!$A$11:$A$58),1, COUNTIF(A$4:$A111, 'Annex 2 Designated EHV charges'!$A$11:$A$58)), 0)),"")</f>
        <v/>
      </c>
      <c r="B112" s="53" t="str">
        <f>IF($A112="","",VLOOKUP($A112,'Annex 2 Designated EHV charges'!$A:$O,2,0))</f>
        <v/>
      </c>
      <c r="C112" s="61" t="str">
        <f>IF($A112="","",VLOOKUP($A112,'Annex 2 Designated EHV charges'!$A:$O,3,0))</f>
        <v/>
      </c>
      <c r="D112" s="61" t="str">
        <f>IF($A112="","",VLOOKUP($A112,'Annex 2 Designated EHV charges'!$A:$O,7,0))</f>
        <v/>
      </c>
      <c r="E112" s="62" t="str">
        <f>IFERROR(IF(VLOOKUP($A112,'Annex 2 Designated EHV charges'!$A:$P,9,FALSE)=0,"",VLOOKUP($A112,'Annex 2 Designated EHV charges'!$A:$P,9,FALSE)),"")</f>
        <v/>
      </c>
      <c r="F112" s="208" t="str">
        <f>IFERROR(IF(VLOOKUP($A112,'Annex 2 Designated EHV charges'!$A:$P,10,FALSE)=0,"",VLOOKUP($A112,'Annex 2 Designated EHV charges'!$A:$P,10,FALSE)),"")</f>
        <v/>
      </c>
      <c r="G112" s="63" t="str">
        <f>IFERROR(IF(VLOOKUP($A112,'Annex 2 Designated EHV charges'!$A:$P,11,FALSE)=0,"",VLOOKUP($A112,'Annex 2 Designated EHV charges'!$A:$P,11,FALSE)),"")</f>
        <v/>
      </c>
      <c r="H112" s="53" t="str">
        <f>IFERROR(IF(VLOOKUP($A112,'Annex 2 Designated EHV charges'!$A:$P,12,FALSE)=0,"",VLOOKUP($A112,'Annex 2 Designated EHV charges'!$A:$P,12,FALSE)),"")</f>
        <v/>
      </c>
    </row>
    <row r="113" spans="1:8" x14ac:dyDescent="0.2">
      <c r="A113" s="53" t="str">
        <f t="array" ref="A113">IFERROR(INDEX('Annex 2 Designated EHV charges'!$A$11:$A$58, MATCH(0, IF(ISBLANK('Annex 2 Designated EHV charges'!$A$11:$A$58),1, COUNTIF(A$4:$A112, 'Annex 2 Designated EHV charges'!$A$11:$A$58)), 0)),"")</f>
        <v/>
      </c>
      <c r="B113" s="53" t="str">
        <f>IF($A113="","",VLOOKUP($A113,'Annex 2 Designated EHV charges'!$A:$O,2,0))</f>
        <v/>
      </c>
      <c r="C113" s="61" t="str">
        <f>IF($A113="","",VLOOKUP($A113,'Annex 2 Designated EHV charges'!$A:$O,3,0))</f>
        <v/>
      </c>
      <c r="D113" s="61" t="str">
        <f>IF($A113="","",VLOOKUP($A113,'Annex 2 Designated EHV charges'!$A:$O,7,0))</f>
        <v/>
      </c>
      <c r="E113" s="62" t="str">
        <f>IFERROR(IF(VLOOKUP($A113,'Annex 2 Designated EHV charges'!$A:$P,9,FALSE)=0,"",VLOOKUP($A113,'Annex 2 Designated EHV charges'!$A:$P,9,FALSE)),"")</f>
        <v/>
      </c>
      <c r="F113" s="208" t="str">
        <f>IFERROR(IF(VLOOKUP($A113,'Annex 2 Designated EHV charges'!$A:$P,10,FALSE)=0,"",VLOOKUP($A113,'Annex 2 Designated EHV charges'!$A:$P,10,FALSE)),"")</f>
        <v/>
      </c>
      <c r="G113" s="63" t="str">
        <f>IFERROR(IF(VLOOKUP($A113,'Annex 2 Designated EHV charges'!$A:$P,11,FALSE)=0,"",VLOOKUP($A113,'Annex 2 Designated EHV charges'!$A:$P,11,FALSE)),"")</f>
        <v/>
      </c>
      <c r="H113" s="53" t="str">
        <f>IFERROR(IF(VLOOKUP($A113,'Annex 2 Designated EHV charges'!$A:$P,12,FALSE)=0,"",VLOOKUP($A113,'Annex 2 Designated EHV charges'!$A:$P,12,FALSE)),"")</f>
        <v/>
      </c>
    </row>
    <row r="114" spans="1:8" x14ac:dyDescent="0.2">
      <c r="A114" s="53" t="str">
        <f t="array" ref="A114">IFERROR(INDEX('Annex 2 Designated EHV charges'!$A$11:$A$58, MATCH(0, IF(ISBLANK('Annex 2 Designated EHV charges'!$A$11:$A$58),1, COUNTIF(A$4:$A113, 'Annex 2 Designated EHV charges'!$A$11:$A$58)), 0)),"")</f>
        <v/>
      </c>
      <c r="B114" s="53" t="str">
        <f>IF($A114="","",VLOOKUP($A114,'Annex 2 Designated EHV charges'!$A:$O,2,0))</f>
        <v/>
      </c>
      <c r="C114" s="61" t="str">
        <f>IF($A114="","",VLOOKUP($A114,'Annex 2 Designated EHV charges'!$A:$O,3,0))</f>
        <v/>
      </c>
      <c r="D114" s="61" t="str">
        <f>IF($A114="","",VLOOKUP($A114,'Annex 2 Designated EHV charges'!$A:$O,7,0))</f>
        <v/>
      </c>
      <c r="E114" s="62" t="str">
        <f>IFERROR(IF(VLOOKUP($A114,'Annex 2 Designated EHV charges'!$A:$P,9,FALSE)=0,"",VLOOKUP($A114,'Annex 2 Designated EHV charges'!$A:$P,9,FALSE)),"")</f>
        <v/>
      </c>
      <c r="F114" s="208" t="str">
        <f>IFERROR(IF(VLOOKUP($A114,'Annex 2 Designated EHV charges'!$A:$P,10,FALSE)=0,"",VLOOKUP($A114,'Annex 2 Designated EHV charges'!$A:$P,10,FALSE)),"")</f>
        <v/>
      </c>
      <c r="G114" s="63" t="str">
        <f>IFERROR(IF(VLOOKUP($A114,'Annex 2 Designated EHV charges'!$A:$P,11,FALSE)=0,"",VLOOKUP($A114,'Annex 2 Designated EHV charges'!$A:$P,11,FALSE)),"")</f>
        <v/>
      </c>
      <c r="H114" s="53" t="str">
        <f>IFERROR(IF(VLOOKUP($A114,'Annex 2 Designated EHV charges'!$A:$P,12,FALSE)=0,"",VLOOKUP($A114,'Annex 2 Designated EHV charges'!$A:$P,12,FALSE)),"")</f>
        <v/>
      </c>
    </row>
    <row r="115" spans="1:8" x14ac:dyDescent="0.2">
      <c r="A115" s="53" t="str">
        <f t="array" ref="A115">IFERROR(INDEX('Annex 2 Designated EHV charges'!$A$11:$A$58, MATCH(0, IF(ISBLANK('Annex 2 Designated EHV charges'!$A$11:$A$58),1, COUNTIF(A$4:$A114, 'Annex 2 Designated EHV charges'!$A$11:$A$58)), 0)),"")</f>
        <v/>
      </c>
      <c r="B115" s="53" t="str">
        <f>IF($A115="","",VLOOKUP($A115,'Annex 2 Designated EHV charges'!$A:$O,2,0))</f>
        <v/>
      </c>
      <c r="C115" s="61" t="str">
        <f>IF($A115="","",VLOOKUP($A115,'Annex 2 Designated EHV charges'!$A:$O,3,0))</f>
        <v/>
      </c>
      <c r="D115" s="61" t="str">
        <f>IF($A115="","",VLOOKUP($A115,'Annex 2 Designated EHV charges'!$A:$O,7,0))</f>
        <v/>
      </c>
      <c r="E115" s="62" t="str">
        <f>IFERROR(IF(VLOOKUP($A115,'Annex 2 Designated EHV charges'!$A:$P,9,FALSE)=0,"",VLOOKUP($A115,'Annex 2 Designated EHV charges'!$A:$P,9,FALSE)),"")</f>
        <v/>
      </c>
      <c r="F115" s="208" t="str">
        <f>IFERROR(IF(VLOOKUP($A115,'Annex 2 Designated EHV charges'!$A:$P,10,FALSE)=0,"",VLOOKUP($A115,'Annex 2 Designated EHV charges'!$A:$P,10,FALSE)),"")</f>
        <v/>
      </c>
      <c r="G115" s="63" t="str">
        <f>IFERROR(IF(VLOOKUP($A115,'Annex 2 Designated EHV charges'!$A:$P,11,FALSE)=0,"",VLOOKUP($A115,'Annex 2 Designated EHV charges'!$A:$P,11,FALSE)),"")</f>
        <v/>
      </c>
      <c r="H115" s="53" t="str">
        <f>IFERROR(IF(VLOOKUP($A115,'Annex 2 Designated EHV charges'!$A:$P,12,FALSE)=0,"",VLOOKUP($A115,'Annex 2 Designated EHV charges'!$A:$P,12,FALSE)),"")</f>
        <v/>
      </c>
    </row>
    <row r="116" spans="1:8" x14ac:dyDescent="0.2">
      <c r="A116" s="53" t="str">
        <f t="array" ref="A116">IFERROR(INDEX('Annex 2 Designated EHV charges'!$A$11:$A$58, MATCH(0, IF(ISBLANK('Annex 2 Designated EHV charges'!$A$11:$A$58),1, COUNTIF(A$4:$A115, 'Annex 2 Designated EHV charges'!$A$11:$A$58)), 0)),"")</f>
        <v/>
      </c>
      <c r="B116" s="53" t="str">
        <f>IF($A116="","",VLOOKUP($A116,'Annex 2 Designated EHV charges'!$A:$O,2,0))</f>
        <v/>
      </c>
      <c r="C116" s="61" t="str">
        <f>IF($A116="","",VLOOKUP($A116,'Annex 2 Designated EHV charges'!$A:$O,3,0))</f>
        <v/>
      </c>
      <c r="D116" s="61" t="str">
        <f>IF($A116="","",VLOOKUP($A116,'Annex 2 Designated EHV charges'!$A:$O,7,0))</f>
        <v/>
      </c>
      <c r="E116" s="62" t="str">
        <f>IFERROR(IF(VLOOKUP($A116,'Annex 2 Designated EHV charges'!$A:$P,9,FALSE)=0,"",VLOOKUP($A116,'Annex 2 Designated EHV charges'!$A:$P,9,FALSE)),"")</f>
        <v/>
      </c>
      <c r="F116" s="208" t="str">
        <f>IFERROR(IF(VLOOKUP($A116,'Annex 2 Designated EHV charges'!$A:$P,10,FALSE)=0,"",VLOOKUP($A116,'Annex 2 Designated EHV charges'!$A:$P,10,FALSE)),"")</f>
        <v/>
      </c>
      <c r="G116" s="63" t="str">
        <f>IFERROR(IF(VLOOKUP($A116,'Annex 2 Designated EHV charges'!$A:$P,11,FALSE)=0,"",VLOOKUP($A116,'Annex 2 Designated EHV charges'!$A:$P,11,FALSE)),"")</f>
        <v/>
      </c>
      <c r="H116" s="53" t="str">
        <f>IFERROR(IF(VLOOKUP($A116,'Annex 2 Designated EHV charges'!$A:$P,12,FALSE)=0,"",VLOOKUP($A116,'Annex 2 Designated EHV charges'!$A:$P,12,FALSE)),"")</f>
        <v/>
      </c>
    </row>
    <row r="117" spans="1:8" x14ac:dyDescent="0.2">
      <c r="A117" s="53" t="str">
        <f t="array" ref="A117">IFERROR(INDEX('Annex 2 Designated EHV charges'!$A$11:$A$58, MATCH(0, IF(ISBLANK('Annex 2 Designated EHV charges'!$A$11:$A$58),1, COUNTIF(A$4:$A116, 'Annex 2 Designated EHV charges'!$A$11:$A$58)), 0)),"")</f>
        <v/>
      </c>
      <c r="B117" s="53" t="str">
        <f>IF($A117="","",VLOOKUP($A117,'Annex 2 Designated EHV charges'!$A:$O,2,0))</f>
        <v/>
      </c>
      <c r="C117" s="61" t="str">
        <f>IF($A117="","",VLOOKUP($A117,'Annex 2 Designated EHV charges'!$A:$O,3,0))</f>
        <v/>
      </c>
      <c r="D117" s="61" t="str">
        <f>IF($A117="","",VLOOKUP($A117,'Annex 2 Designated EHV charges'!$A:$O,7,0))</f>
        <v/>
      </c>
      <c r="E117" s="62" t="str">
        <f>IFERROR(IF(VLOOKUP($A117,'Annex 2 Designated EHV charges'!$A:$P,9,FALSE)=0,"",VLOOKUP($A117,'Annex 2 Designated EHV charges'!$A:$P,9,FALSE)),"")</f>
        <v/>
      </c>
      <c r="F117" s="208" t="str">
        <f>IFERROR(IF(VLOOKUP($A117,'Annex 2 Designated EHV charges'!$A:$P,10,FALSE)=0,"",VLOOKUP($A117,'Annex 2 Designated EHV charges'!$A:$P,10,FALSE)),"")</f>
        <v/>
      </c>
      <c r="G117" s="63" t="str">
        <f>IFERROR(IF(VLOOKUP($A117,'Annex 2 Designated EHV charges'!$A:$P,11,FALSE)=0,"",VLOOKUP($A117,'Annex 2 Designated EHV charges'!$A:$P,11,FALSE)),"")</f>
        <v/>
      </c>
      <c r="H117" s="53" t="str">
        <f>IFERROR(IF(VLOOKUP($A117,'Annex 2 Designated EHV charges'!$A:$P,12,FALSE)=0,"",VLOOKUP($A117,'Annex 2 Designated EHV charges'!$A:$P,12,FALSE)),"")</f>
        <v/>
      </c>
    </row>
    <row r="118" spans="1:8" x14ac:dyDescent="0.2">
      <c r="A118" s="53" t="str">
        <f t="array" ref="A118">IFERROR(INDEX('Annex 2 Designated EHV charges'!$A$11:$A$58, MATCH(0, IF(ISBLANK('Annex 2 Designated EHV charges'!$A$11:$A$58),1, COUNTIF(A$4:$A117, 'Annex 2 Designated EHV charges'!$A$11:$A$58)), 0)),"")</f>
        <v/>
      </c>
      <c r="B118" s="53" t="str">
        <f>IF($A118="","",VLOOKUP($A118,'Annex 2 Designated EHV charges'!$A:$O,2,0))</f>
        <v/>
      </c>
      <c r="C118" s="61" t="str">
        <f>IF($A118="","",VLOOKUP($A118,'Annex 2 Designated EHV charges'!$A:$O,3,0))</f>
        <v/>
      </c>
      <c r="D118" s="61" t="str">
        <f>IF($A118="","",VLOOKUP($A118,'Annex 2 Designated EHV charges'!$A:$O,7,0))</f>
        <v/>
      </c>
      <c r="E118" s="62" t="str">
        <f>IFERROR(IF(VLOOKUP($A118,'Annex 2 Designated EHV charges'!$A:$P,9,FALSE)=0,"",VLOOKUP($A118,'Annex 2 Designated EHV charges'!$A:$P,9,FALSE)),"")</f>
        <v/>
      </c>
      <c r="F118" s="208" t="str">
        <f>IFERROR(IF(VLOOKUP($A118,'Annex 2 Designated EHV charges'!$A:$P,10,FALSE)=0,"",VLOOKUP($A118,'Annex 2 Designated EHV charges'!$A:$P,10,FALSE)),"")</f>
        <v/>
      </c>
      <c r="G118" s="63" t="str">
        <f>IFERROR(IF(VLOOKUP($A118,'Annex 2 Designated EHV charges'!$A:$P,11,FALSE)=0,"",VLOOKUP($A118,'Annex 2 Designated EHV charges'!$A:$P,11,FALSE)),"")</f>
        <v/>
      </c>
      <c r="H118" s="53" t="str">
        <f>IFERROR(IF(VLOOKUP($A118,'Annex 2 Designated EHV charges'!$A:$P,12,FALSE)=0,"",VLOOKUP($A118,'Annex 2 Designated EHV charges'!$A:$P,12,FALSE)),"")</f>
        <v/>
      </c>
    </row>
    <row r="119" spans="1:8" x14ac:dyDescent="0.2">
      <c r="A119" s="53" t="str">
        <f t="array" ref="A119">IFERROR(INDEX('Annex 2 Designated EHV charges'!$A$11:$A$58, MATCH(0, IF(ISBLANK('Annex 2 Designated EHV charges'!$A$11:$A$58),1, COUNTIF(A$4:$A118, 'Annex 2 Designated EHV charges'!$A$11:$A$58)), 0)),"")</f>
        <v/>
      </c>
      <c r="B119" s="53" t="str">
        <f>IF($A119="","",VLOOKUP($A119,'Annex 2 Designated EHV charges'!$A:$O,2,0))</f>
        <v/>
      </c>
      <c r="C119" s="61" t="str">
        <f>IF($A119="","",VLOOKUP($A119,'Annex 2 Designated EHV charges'!$A:$O,3,0))</f>
        <v/>
      </c>
      <c r="D119" s="61" t="str">
        <f>IF($A119="","",VLOOKUP($A119,'Annex 2 Designated EHV charges'!$A:$O,7,0))</f>
        <v/>
      </c>
      <c r="E119" s="62" t="str">
        <f>IFERROR(IF(VLOOKUP($A119,'Annex 2 Designated EHV charges'!$A:$P,9,FALSE)=0,"",VLOOKUP($A119,'Annex 2 Designated EHV charges'!$A:$P,9,FALSE)),"")</f>
        <v/>
      </c>
      <c r="F119" s="208" t="str">
        <f>IFERROR(IF(VLOOKUP($A119,'Annex 2 Designated EHV charges'!$A:$P,10,FALSE)=0,"",VLOOKUP($A119,'Annex 2 Designated EHV charges'!$A:$P,10,FALSE)),"")</f>
        <v/>
      </c>
      <c r="G119" s="63" t="str">
        <f>IFERROR(IF(VLOOKUP($A119,'Annex 2 Designated EHV charges'!$A:$P,11,FALSE)=0,"",VLOOKUP($A119,'Annex 2 Designated EHV charges'!$A:$P,11,FALSE)),"")</f>
        <v/>
      </c>
      <c r="H119" s="53" t="str">
        <f>IFERROR(IF(VLOOKUP($A119,'Annex 2 Designated EHV charges'!$A:$P,12,FALSE)=0,"",VLOOKUP($A119,'Annex 2 Designated EHV charges'!$A:$P,12,FALSE)),"")</f>
        <v/>
      </c>
    </row>
    <row r="120" spans="1:8" x14ac:dyDescent="0.2">
      <c r="A120" s="53" t="str">
        <f t="array" ref="A120">IFERROR(INDEX('Annex 2 Designated EHV charges'!$A$11:$A$58, MATCH(0, IF(ISBLANK('Annex 2 Designated EHV charges'!$A$11:$A$58),1, COUNTIF(A$4:$A119, 'Annex 2 Designated EHV charges'!$A$11:$A$58)), 0)),"")</f>
        <v/>
      </c>
      <c r="B120" s="53" t="str">
        <f>IF($A120="","",VLOOKUP($A120,'Annex 2 Designated EHV charges'!$A:$O,2,0))</f>
        <v/>
      </c>
      <c r="C120" s="61" t="str">
        <f>IF($A120="","",VLOOKUP($A120,'Annex 2 Designated EHV charges'!$A:$O,3,0))</f>
        <v/>
      </c>
      <c r="D120" s="61" t="str">
        <f>IF($A120="","",VLOOKUP($A120,'Annex 2 Designated EHV charges'!$A:$O,7,0))</f>
        <v/>
      </c>
      <c r="E120" s="62" t="str">
        <f>IFERROR(IF(VLOOKUP($A120,'Annex 2 Designated EHV charges'!$A:$P,9,FALSE)=0,"",VLOOKUP($A120,'Annex 2 Designated EHV charges'!$A:$P,9,FALSE)),"")</f>
        <v/>
      </c>
      <c r="F120" s="208" t="str">
        <f>IFERROR(IF(VLOOKUP($A120,'Annex 2 Designated EHV charges'!$A:$P,10,FALSE)=0,"",VLOOKUP($A120,'Annex 2 Designated EHV charges'!$A:$P,10,FALSE)),"")</f>
        <v/>
      </c>
      <c r="G120" s="63" t="str">
        <f>IFERROR(IF(VLOOKUP($A120,'Annex 2 Designated EHV charges'!$A:$P,11,FALSE)=0,"",VLOOKUP($A120,'Annex 2 Designated EHV charges'!$A:$P,11,FALSE)),"")</f>
        <v/>
      </c>
      <c r="H120" s="53" t="str">
        <f>IFERROR(IF(VLOOKUP($A120,'Annex 2 Designated EHV charges'!$A:$P,12,FALSE)=0,"",VLOOKUP($A120,'Annex 2 Designated EHV charges'!$A:$P,12,FALSE)),"")</f>
        <v/>
      </c>
    </row>
    <row r="121" spans="1:8" x14ac:dyDescent="0.2">
      <c r="A121" s="53" t="str">
        <f t="array" ref="A121">IFERROR(INDEX('Annex 2 Designated EHV charges'!$A$11:$A$58, MATCH(0, IF(ISBLANK('Annex 2 Designated EHV charges'!$A$11:$A$58),1, COUNTIF(A$4:$A120, 'Annex 2 Designated EHV charges'!$A$11:$A$58)), 0)),"")</f>
        <v/>
      </c>
      <c r="B121" s="53" t="str">
        <f>IF($A121="","",VLOOKUP($A121,'Annex 2 Designated EHV charges'!$A:$O,2,0))</f>
        <v/>
      </c>
      <c r="C121" s="61" t="str">
        <f>IF($A121="","",VLOOKUP($A121,'Annex 2 Designated EHV charges'!$A:$O,3,0))</f>
        <v/>
      </c>
      <c r="D121" s="61" t="str">
        <f>IF($A121="","",VLOOKUP($A121,'Annex 2 Designated EHV charges'!$A:$O,7,0))</f>
        <v/>
      </c>
      <c r="E121" s="62" t="str">
        <f>IFERROR(IF(VLOOKUP($A121,'Annex 2 Designated EHV charges'!$A:$P,9,FALSE)=0,"",VLOOKUP($A121,'Annex 2 Designated EHV charges'!$A:$P,9,FALSE)),"")</f>
        <v/>
      </c>
      <c r="F121" s="208" t="str">
        <f>IFERROR(IF(VLOOKUP($A121,'Annex 2 Designated EHV charges'!$A:$P,10,FALSE)=0,"",VLOOKUP($A121,'Annex 2 Designated EHV charges'!$A:$P,10,FALSE)),"")</f>
        <v/>
      </c>
      <c r="G121" s="63" t="str">
        <f>IFERROR(IF(VLOOKUP($A121,'Annex 2 Designated EHV charges'!$A:$P,11,FALSE)=0,"",VLOOKUP($A121,'Annex 2 Designated EHV charges'!$A:$P,11,FALSE)),"")</f>
        <v/>
      </c>
      <c r="H121" s="53" t="str">
        <f>IFERROR(IF(VLOOKUP($A121,'Annex 2 Designated EHV charges'!$A:$P,12,FALSE)=0,"",VLOOKUP($A121,'Annex 2 Designated EHV charges'!$A:$P,12,FALSE)),"")</f>
        <v/>
      </c>
    </row>
    <row r="122" spans="1:8" x14ac:dyDescent="0.2">
      <c r="A122" s="53" t="str">
        <f t="array" ref="A122">IFERROR(INDEX('Annex 2 Designated EHV charges'!$A$11:$A$58, MATCH(0, IF(ISBLANK('Annex 2 Designated EHV charges'!$A$11:$A$58),1, COUNTIF(A$4:$A121, 'Annex 2 Designated EHV charges'!$A$11:$A$58)), 0)),"")</f>
        <v/>
      </c>
      <c r="B122" s="53" t="str">
        <f>IF($A122="","",VLOOKUP($A122,'Annex 2 Designated EHV charges'!$A:$O,2,0))</f>
        <v/>
      </c>
      <c r="C122" s="61" t="str">
        <f>IF($A122="","",VLOOKUP($A122,'Annex 2 Designated EHV charges'!$A:$O,3,0))</f>
        <v/>
      </c>
      <c r="D122" s="61" t="str">
        <f>IF($A122="","",VLOOKUP($A122,'Annex 2 Designated EHV charges'!$A:$O,7,0))</f>
        <v/>
      </c>
      <c r="E122" s="62" t="str">
        <f>IFERROR(IF(VLOOKUP($A122,'Annex 2 Designated EHV charges'!$A:$P,9,FALSE)=0,"",VLOOKUP($A122,'Annex 2 Designated EHV charges'!$A:$P,9,FALSE)),"")</f>
        <v/>
      </c>
      <c r="F122" s="208" t="str">
        <f>IFERROR(IF(VLOOKUP($A122,'Annex 2 Designated EHV charges'!$A:$P,10,FALSE)=0,"",VLOOKUP($A122,'Annex 2 Designated EHV charges'!$A:$P,10,FALSE)),"")</f>
        <v/>
      </c>
      <c r="G122" s="63" t="str">
        <f>IFERROR(IF(VLOOKUP($A122,'Annex 2 Designated EHV charges'!$A:$P,11,FALSE)=0,"",VLOOKUP($A122,'Annex 2 Designated EHV charges'!$A:$P,11,FALSE)),"")</f>
        <v/>
      </c>
      <c r="H122" s="53" t="str">
        <f>IFERROR(IF(VLOOKUP($A122,'Annex 2 Designated EHV charges'!$A:$P,12,FALSE)=0,"",VLOOKUP($A122,'Annex 2 Designated EHV charges'!$A:$P,12,FALSE)),"")</f>
        <v/>
      </c>
    </row>
    <row r="123" spans="1:8" x14ac:dyDescent="0.2">
      <c r="A123" s="53" t="str">
        <f t="array" ref="A123">IFERROR(INDEX('Annex 2 Designated EHV charges'!$A$11:$A$58, MATCH(0, IF(ISBLANK('Annex 2 Designated EHV charges'!$A$11:$A$58),1, COUNTIF(A$4:$A122, 'Annex 2 Designated EHV charges'!$A$11:$A$58)), 0)),"")</f>
        <v/>
      </c>
      <c r="B123" s="53" t="str">
        <f>IF($A123="","",VLOOKUP($A123,'Annex 2 Designated EHV charges'!$A:$O,2,0))</f>
        <v/>
      </c>
      <c r="C123" s="61" t="str">
        <f>IF($A123="","",VLOOKUP($A123,'Annex 2 Designated EHV charges'!$A:$O,3,0))</f>
        <v/>
      </c>
      <c r="D123" s="61" t="str">
        <f>IF($A123="","",VLOOKUP($A123,'Annex 2 Designated EHV charges'!$A:$O,7,0))</f>
        <v/>
      </c>
      <c r="E123" s="62" t="str">
        <f>IFERROR(IF(VLOOKUP($A123,'Annex 2 Designated EHV charges'!$A:$P,9,FALSE)=0,"",VLOOKUP($A123,'Annex 2 Designated EHV charges'!$A:$P,9,FALSE)),"")</f>
        <v/>
      </c>
      <c r="F123" s="208" t="str">
        <f>IFERROR(IF(VLOOKUP($A123,'Annex 2 Designated EHV charges'!$A:$P,10,FALSE)=0,"",VLOOKUP($A123,'Annex 2 Designated EHV charges'!$A:$P,10,FALSE)),"")</f>
        <v/>
      </c>
      <c r="G123" s="63" t="str">
        <f>IFERROR(IF(VLOOKUP($A123,'Annex 2 Designated EHV charges'!$A:$P,11,FALSE)=0,"",VLOOKUP($A123,'Annex 2 Designated EHV charges'!$A:$P,11,FALSE)),"")</f>
        <v/>
      </c>
      <c r="H123" s="53" t="str">
        <f>IFERROR(IF(VLOOKUP($A123,'Annex 2 Designated EHV charges'!$A:$P,12,FALSE)=0,"",VLOOKUP($A123,'Annex 2 Designated EHV charges'!$A:$P,12,FALSE)),"")</f>
        <v/>
      </c>
    </row>
    <row r="124" spans="1:8" x14ac:dyDescent="0.2">
      <c r="A124" s="53" t="str">
        <f t="array" ref="A124">IFERROR(INDEX('Annex 2 Designated EHV charges'!$A$11:$A$58, MATCH(0, IF(ISBLANK('Annex 2 Designated EHV charges'!$A$11:$A$58),1, COUNTIF(A$4:$A123, 'Annex 2 Designated EHV charges'!$A$11:$A$58)), 0)),"")</f>
        <v/>
      </c>
      <c r="B124" s="53" t="str">
        <f>IF($A124="","",VLOOKUP($A124,'Annex 2 Designated EHV charges'!$A:$O,2,0))</f>
        <v/>
      </c>
      <c r="C124" s="61" t="str">
        <f>IF($A124="","",VLOOKUP($A124,'Annex 2 Designated EHV charges'!$A:$O,3,0))</f>
        <v/>
      </c>
      <c r="D124" s="61" t="str">
        <f>IF($A124="","",VLOOKUP($A124,'Annex 2 Designated EHV charges'!$A:$O,7,0))</f>
        <v/>
      </c>
      <c r="E124" s="62" t="str">
        <f>IFERROR(IF(VLOOKUP($A124,'Annex 2 Designated EHV charges'!$A:$P,9,FALSE)=0,"",VLOOKUP($A124,'Annex 2 Designated EHV charges'!$A:$P,9,FALSE)),"")</f>
        <v/>
      </c>
      <c r="F124" s="208" t="str">
        <f>IFERROR(IF(VLOOKUP($A124,'Annex 2 Designated EHV charges'!$A:$P,10,FALSE)=0,"",VLOOKUP($A124,'Annex 2 Designated EHV charges'!$A:$P,10,FALSE)),"")</f>
        <v/>
      </c>
      <c r="G124" s="63" t="str">
        <f>IFERROR(IF(VLOOKUP($A124,'Annex 2 Designated EHV charges'!$A:$P,11,FALSE)=0,"",VLOOKUP($A124,'Annex 2 Designated EHV charges'!$A:$P,11,FALSE)),"")</f>
        <v/>
      </c>
      <c r="H124" s="53" t="str">
        <f>IFERROR(IF(VLOOKUP($A124,'Annex 2 Designated EHV charges'!$A:$P,12,FALSE)=0,"",VLOOKUP($A124,'Annex 2 Designated EHV charges'!$A:$P,12,FALSE)),"")</f>
        <v/>
      </c>
    </row>
    <row r="125" spans="1:8" x14ac:dyDescent="0.2">
      <c r="A125" s="53" t="str">
        <f t="array" ref="A125">IFERROR(INDEX('Annex 2 Designated EHV charges'!$A$11:$A$58, MATCH(0, IF(ISBLANK('Annex 2 Designated EHV charges'!$A$11:$A$58),1, COUNTIF(A$4:$A124, 'Annex 2 Designated EHV charges'!$A$11:$A$58)), 0)),"")</f>
        <v/>
      </c>
      <c r="B125" s="53" t="str">
        <f>IF($A125="","",VLOOKUP($A125,'Annex 2 Designated EHV charges'!$A:$O,2,0))</f>
        <v/>
      </c>
      <c r="C125" s="61" t="str">
        <f>IF($A125="","",VLOOKUP($A125,'Annex 2 Designated EHV charges'!$A:$O,3,0))</f>
        <v/>
      </c>
      <c r="D125" s="61" t="str">
        <f>IF($A125="","",VLOOKUP($A125,'Annex 2 Designated EHV charges'!$A:$O,7,0))</f>
        <v/>
      </c>
      <c r="E125" s="62" t="str">
        <f>IFERROR(IF(VLOOKUP($A125,'Annex 2 Designated EHV charges'!$A:$P,9,FALSE)=0,"",VLOOKUP($A125,'Annex 2 Designated EHV charges'!$A:$P,9,FALSE)),"")</f>
        <v/>
      </c>
      <c r="F125" s="208" t="str">
        <f>IFERROR(IF(VLOOKUP($A125,'Annex 2 Designated EHV charges'!$A:$P,10,FALSE)=0,"",VLOOKUP($A125,'Annex 2 Designated EHV charges'!$A:$P,10,FALSE)),"")</f>
        <v/>
      </c>
      <c r="G125" s="63" t="str">
        <f>IFERROR(IF(VLOOKUP($A125,'Annex 2 Designated EHV charges'!$A:$P,11,FALSE)=0,"",VLOOKUP($A125,'Annex 2 Designated EHV charges'!$A:$P,11,FALSE)),"")</f>
        <v/>
      </c>
      <c r="H125" s="53" t="str">
        <f>IFERROR(IF(VLOOKUP($A125,'Annex 2 Designated EHV charges'!$A:$P,12,FALSE)=0,"",VLOOKUP($A125,'Annex 2 Designated EHV charges'!$A:$P,12,FALSE)),"")</f>
        <v/>
      </c>
    </row>
    <row r="126" spans="1:8" x14ac:dyDescent="0.2">
      <c r="A126" s="53" t="str">
        <f t="array" ref="A126">IFERROR(INDEX('Annex 2 Designated EHV charges'!$A$11:$A$58, MATCH(0, IF(ISBLANK('Annex 2 Designated EHV charges'!$A$11:$A$58),1, COUNTIF(A$4:$A125, 'Annex 2 Designated EHV charges'!$A$11:$A$58)), 0)),"")</f>
        <v/>
      </c>
      <c r="B126" s="53" t="str">
        <f>IF($A126="","",VLOOKUP($A126,'Annex 2 Designated EHV charges'!$A:$O,2,0))</f>
        <v/>
      </c>
      <c r="C126" s="61" t="str">
        <f>IF($A126="","",VLOOKUP($A126,'Annex 2 Designated EHV charges'!$A:$O,3,0))</f>
        <v/>
      </c>
      <c r="D126" s="61" t="str">
        <f>IF($A126="","",VLOOKUP($A126,'Annex 2 Designated EHV charges'!$A:$O,7,0))</f>
        <v/>
      </c>
      <c r="E126" s="62" t="str">
        <f>IFERROR(IF(VLOOKUP($A126,'Annex 2 Designated EHV charges'!$A:$P,9,FALSE)=0,"",VLOOKUP($A126,'Annex 2 Designated EHV charges'!$A:$P,9,FALSE)),"")</f>
        <v/>
      </c>
      <c r="F126" s="208" t="str">
        <f>IFERROR(IF(VLOOKUP($A126,'Annex 2 Designated EHV charges'!$A:$P,10,FALSE)=0,"",VLOOKUP($A126,'Annex 2 Designated EHV charges'!$A:$P,10,FALSE)),"")</f>
        <v/>
      </c>
      <c r="G126" s="63" t="str">
        <f>IFERROR(IF(VLOOKUP($A126,'Annex 2 Designated EHV charges'!$A:$P,11,FALSE)=0,"",VLOOKUP($A126,'Annex 2 Designated EHV charges'!$A:$P,11,FALSE)),"")</f>
        <v/>
      </c>
      <c r="H126" s="53" t="str">
        <f>IFERROR(IF(VLOOKUP($A126,'Annex 2 Designated EHV charges'!$A:$P,12,FALSE)=0,"",VLOOKUP($A126,'Annex 2 Designated EHV charges'!$A:$P,12,FALSE)),"")</f>
        <v/>
      </c>
    </row>
    <row r="127" spans="1:8" x14ac:dyDescent="0.2">
      <c r="A127" s="53" t="str">
        <f t="array" ref="A127">IFERROR(INDEX('Annex 2 Designated EHV charges'!$A$11:$A$58, MATCH(0, IF(ISBLANK('Annex 2 Designated EHV charges'!$A$11:$A$58),1, COUNTIF(A$4:$A126, 'Annex 2 Designated EHV charges'!$A$11:$A$58)), 0)),"")</f>
        <v/>
      </c>
      <c r="B127" s="53" t="str">
        <f>IF($A127="","",VLOOKUP($A127,'Annex 2 Designated EHV charges'!$A:$O,2,0))</f>
        <v/>
      </c>
      <c r="C127" s="61" t="str">
        <f>IF($A127="","",VLOOKUP($A127,'Annex 2 Designated EHV charges'!$A:$O,3,0))</f>
        <v/>
      </c>
      <c r="D127" s="61" t="str">
        <f>IF($A127="","",VLOOKUP($A127,'Annex 2 Designated EHV charges'!$A:$O,7,0))</f>
        <v/>
      </c>
      <c r="E127" s="62" t="str">
        <f>IFERROR(IF(VLOOKUP($A127,'Annex 2 Designated EHV charges'!$A:$P,9,FALSE)=0,"",VLOOKUP($A127,'Annex 2 Designated EHV charges'!$A:$P,9,FALSE)),"")</f>
        <v/>
      </c>
      <c r="F127" s="208" t="str">
        <f>IFERROR(IF(VLOOKUP($A127,'Annex 2 Designated EHV charges'!$A:$P,10,FALSE)=0,"",VLOOKUP($A127,'Annex 2 Designated EHV charges'!$A:$P,10,FALSE)),"")</f>
        <v/>
      </c>
      <c r="G127" s="63" t="str">
        <f>IFERROR(IF(VLOOKUP($A127,'Annex 2 Designated EHV charges'!$A:$P,11,FALSE)=0,"",VLOOKUP($A127,'Annex 2 Designated EHV charges'!$A:$P,11,FALSE)),"")</f>
        <v/>
      </c>
      <c r="H127" s="53" t="str">
        <f>IFERROR(IF(VLOOKUP($A127,'Annex 2 Designated EHV charges'!$A:$P,12,FALSE)=0,"",VLOOKUP($A127,'Annex 2 Designated EHV charges'!$A:$P,12,FALSE)),"")</f>
        <v/>
      </c>
    </row>
    <row r="128" spans="1:8" x14ac:dyDescent="0.2">
      <c r="A128" s="53" t="str">
        <f t="array" ref="A128">IFERROR(INDEX('Annex 2 Designated EHV charges'!$A$11:$A$58, MATCH(0, IF(ISBLANK('Annex 2 Designated EHV charges'!$A$11:$A$58),1, COUNTIF(A$4:$A127, 'Annex 2 Designated EHV charges'!$A$11:$A$58)), 0)),"")</f>
        <v/>
      </c>
      <c r="B128" s="53" t="str">
        <f>IF($A128="","",VLOOKUP($A128,'Annex 2 Designated EHV charges'!$A:$O,2,0))</f>
        <v/>
      </c>
      <c r="C128" s="61" t="str">
        <f>IF($A128="","",VLOOKUP($A128,'Annex 2 Designated EHV charges'!$A:$O,3,0))</f>
        <v/>
      </c>
      <c r="D128" s="61" t="str">
        <f>IF($A128="","",VLOOKUP($A128,'Annex 2 Designated EHV charges'!$A:$O,7,0))</f>
        <v/>
      </c>
      <c r="E128" s="62" t="str">
        <f>IFERROR(IF(VLOOKUP($A128,'Annex 2 Designated EHV charges'!$A:$P,9,FALSE)=0,"",VLOOKUP($A128,'Annex 2 Designated EHV charges'!$A:$P,9,FALSE)),"")</f>
        <v/>
      </c>
      <c r="F128" s="208" t="str">
        <f>IFERROR(IF(VLOOKUP($A128,'Annex 2 Designated EHV charges'!$A:$P,10,FALSE)=0,"",VLOOKUP($A128,'Annex 2 Designated EHV charges'!$A:$P,10,FALSE)),"")</f>
        <v/>
      </c>
      <c r="G128" s="63" t="str">
        <f>IFERROR(IF(VLOOKUP($A128,'Annex 2 Designated EHV charges'!$A:$P,11,FALSE)=0,"",VLOOKUP($A128,'Annex 2 Designated EHV charges'!$A:$P,11,FALSE)),"")</f>
        <v/>
      </c>
      <c r="H128" s="53" t="str">
        <f>IFERROR(IF(VLOOKUP($A128,'Annex 2 Designated EHV charges'!$A:$P,12,FALSE)=0,"",VLOOKUP($A128,'Annex 2 Designated EHV charges'!$A:$P,12,FALSE)),"")</f>
        <v/>
      </c>
    </row>
    <row r="129" spans="1:8" x14ac:dyDescent="0.2">
      <c r="A129" s="53" t="str">
        <f t="array" ref="A129">IFERROR(INDEX('Annex 2 Designated EHV charges'!$A$11:$A$58, MATCH(0, IF(ISBLANK('Annex 2 Designated EHV charges'!$A$11:$A$58),1, COUNTIF(A$4:$A128, 'Annex 2 Designated EHV charges'!$A$11:$A$58)), 0)),"")</f>
        <v/>
      </c>
      <c r="B129" s="53" t="str">
        <f>IF($A129="","",VLOOKUP($A129,'Annex 2 Designated EHV charges'!$A:$O,2,0))</f>
        <v/>
      </c>
      <c r="C129" s="61" t="str">
        <f>IF($A129="","",VLOOKUP($A129,'Annex 2 Designated EHV charges'!$A:$O,3,0))</f>
        <v/>
      </c>
      <c r="D129" s="61" t="str">
        <f>IF($A129="","",VLOOKUP($A129,'Annex 2 Designated EHV charges'!$A:$O,7,0))</f>
        <v/>
      </c>
      <c r="E129" s="62" t="str">
        <f>IFERROR(IF(VLOOKUP($A129,'Annex 2 Designated EHV charges'!$A:$P,9,FALSE)=0,"",VLOOKUP($A129,'Annex 2 Designated EHV charges'!$A:$P,9,FALSE)),"")</f>
        <v/>
      </c>
      <c r="F129" s="208" t="str">
        <f>IFERROR(IF(VLOOKUP($A129,'Annex 2 Designated EHV charges'!$A:$P,10,FALSE)=0,"",VLOOKUP($A129,'Annex 2 Designated EHV charges'!$A:$P,10,FALSE)),"")</f>
        <v/>
      </c>
      <c r="G129" s="63" t="str">
        <f>IFERROR(IF(VLOOKUP($A129,'Annex 2 Designated EHV charges'!$A:$P,11,FALSE)=0,"",VLOOKUP($A129,'Annex 2 Designated EHV charges'!$A:$P,11,FALSE)),"")</f>
        <v/>
      </c>
      <c r="H129" s="53" t="str">
        <f>IFERROR(IF(VLOOKUP($A129,'Annex 2 Designated EHV charges'!$A:$P,12,FALSE)=0,"",VLOOKUP($A129,'Annex 2 Designated EHV charges'!$A:$P,12,FALSE)),"")</f>
        <v/>
      </c>
    </row>
    <row r="130" spans="1:8" x14ac:dyDescent="0.2">
      <c r="A130" s="53" t="str">
        <f t="array" ref="A130">IFERROR(INDEX('Annex 2 Designated EHV charges'!$A$11:$A$58, MATCH(0, IF(ISBLANK('Annex 2 Designated EHV charges'!$A$11:$A$58),1, COUNTIF(A$4:$A129, 'Annex 2 Designated EHV charges'!$A$11:$A$58)), 0)),"")</f>
        <v/>
      </c>
      <c r="B130" s="53" t="str">
        <f>IF($A130="","",VLOOKUP($A130,'Annex 2 Designated EHV charges'!$A:$O,2,0))</f>
        <v/>
      </c>
      <c r="C130" s="61" t="str">
        <f>IF($A130="","",VLOOKUP($A130,'Annex 2 Designated EHV charges'!$A:$O,3,0))</f>
        <v/>
      </c>
      <c r="D130" s="61" t="str">
        <f>IF($A130="","",VLOOKUP($A130,'Annex 2 Designated EHV charges'!$A:$O,7,0))</f>
        <v/>
      </c>
      <c r="E130" s="62" t="str">
        <f>IFERROR(IF(VLOOKUP($A130,'Annex 2 Designated EHV charges'!$A:$P,9,FALSE)=0,"",VLOOKUP($A130,'Annex 2 Designated EHV charges'!$A:$P,9,FALSE)),"")</f>
        <v/>
      </c>
      <c r="F130" s="208" t="str">
        <f>IFERROR(IF(VLOOKUP($A130,'Annex 2 Designated EHV charges'!$A:$P,10,FALSE)=0,"",VLOOKUP($A130,'Annex 2 Designated EHV charges'!$A:$P,10,FALSE)),"")</f>
        <v/>
      </c>
      <c r="G130" s="63" t="str">
        <f>IFERROR(IF(VLOOKUP($A130,'Annex 2 Designated EHV charges'!$A:$P,11,FALSE)=0,"",VLOOKUP($A130,'Annex 2 Designated EHV charges'!$A:$P,11,FALSE)),"")</f>
        <v/>
      </c>
      <c r="H130" s="53" t="str">
        <f>IFERROR(IF(VLOOKUP($A130,'Annex 2 Designated EHV charges'!$A:$P,12,FALSE)=0,"",VLOOKUP($A130,'Annex 2 Designated EHV charges'!$A:$P,12,FALSE)),"")</f>
        <v/>
      </c>
    </row>
    <row r="131" spans="1:8" x14ac:dyDescent="0.2">
      <c r="A131" s="53" t="str">
        <f t="array" ref="A131">IFERROR(INDEX('Annex 2 Designated EHV charges'!$A$11:$A$58, MATCH(0, IF(ISBLANK('Annex 2 Designated EHV charges'!$A$11:$A$58),1, COUNTIF(A$4:$A130, 'Annex 2 Designated EHV charges'!$A$11:$A$58)), 0)),"")</f>
        <v/>
      </c>
      <c r="B131" s="53" t="str">
        <f>IF($A131="","",VLOOKUP($A131,'Annex 2 Designated EHV charges'!$A:$O,2,0))</f>
        <v/>
      </c>
      <c r="C131" s="61" t="str">
        <f>IF($A131="","",VLOOKUP($A131,'Annex 2 Designated EHV charges'!$A:$O,3,0))</f>
        <v/>
      </c>
      <c r="D131" s="61" t="str">
        <f>IF($A131="","",VLOOKUP($A131,'Annex 2 Designated EHV charges'!$A:$O,7,0))</f>
        <v/>
      </c>
      <c r="E131" s="62" t="str">
        <f>IFERROR(IF(VLOOKUP($A131,'Annex 2 Designated EHV charges'!$A:$P,9,FALSE)=0,"",VLOOKUP($A131,'Annex 2 Designated EHV charges'!$A:$P,9,FALSE)),"")</f>
        <v/>
      </c>
      <c r="F131" s="208" t="str">
        <f>IFERROR(IF(VLOOKUP($A131,'Annex 2 Designated EHV charges'!$A:$P,10,FALSE)=0,"",VLOOKUP($A131,'Annex 2 Designated EHV charges'!$A:$P,10,FALSE)),"")</f>
        <v/>
      </c>
      <c r="G131" s="63" t="str">
        <f>IFERROR(IF(VLOOKUP($A131,'Annex 2 Designated EHV charges'!$A:$P,11,FALSE)=0,"",VLOOKUP($A131,'Annex 2 Designated EHV charges'!$A:$P,11,FALSE)),"")</f>
        <v/>
      </c>
      <c r="H131" s="53" t="str">
        <f>IFERROR(IF(VLOOKUP($A131,'Annex 2 Designated EHV charges'!$A:$P,12,FALSE)=0,"",VLOOKUP($A131,'Annex 2 Designated EHV charges'!$A:$P,12,FALSE)),"")</f>
        <v/>
      </c>
    </row>
    <row r="132" spans="1:8" x14ac:dyDescent="0.2">
      <c r="A132" s="53" t="str">
        <f t="array" ref="A132">IFERROR(INDEX('Annex 2 Designated EHV charges'!$A$11:$A$58, MATCH(0, IF(ISBLANK('Annex 2 Designated EHV charges'!$A$11:$A$58),1, COUNTIF(A$4:$A131, 'Annex 2 Designated EHV charges'!$A$11:$A$58)), 0)),"")</f>
        <v/>
      </c>
      <c r="B132" s="53" t="str">
        <f>IF($A132="","",VLOOKUP($A132,'Annex 2 Designated EHV charges'!$A:$O,2,0))</f>
        <v/>
      </c>
      <c r="C132" s="61" t="str">
        <f>IF($A132="","",VLOOKUP($A132,'Annex 2 Designated EHV charges'!$A:$O,3,0))</f>
        <v/>
      </c>
      <c r="D132" s="61" t="str">
        <f>IF($A132="","",VLOOKUP($A132,'Annex 2 Designated EHV charges'!$A:$O,7,0))</f>
        <v/>
      </c>
      <c r="E132" s="62" t="str">
        <f>IFERROR(IF(VLOOKUP($A132,'Annex 2 Designated EHV charges'!$A:$P,9,FALSE)=0,"",VLOOKUP($A132,'Annex 2 Designated EHV charges'!$A:$P,9,FALSE)),"")</f>
        <v/>
      </c>
      <c r="F132" s="208" t="str">
        <f>IFERROR(IF(VLOOKUP($A132,'Annex 2 Designated EHV charges'!$A:$P,10,FALSE)=0,"",VLOOKUP($A132,'Annex 2 Designated EHV charges'!$A:$P,10,FALSE)),"")</f>
        <v/>
      </c>
      <c r="G132" s="63" t="str">
        <f>IFERROR(IF(VLOOKUP($A132,'Annex 2 Designated EHV charges'!$A:$P,11,FALSE)=0,"",VLOOKUP($A132,'Annex 2 Designated EHV charges'!$A:$P,11,FALSE)),"")</f>
        <v/>
      </c>
      <c r="H132" s="53" t="str">
        <f>IFERROR(IF(VLOOKUP($A132,'Annex 2 Designated EHV charges'!$A:$P,12,FALSE)=0,"",VLOOKUP($A132,'Annex 2 Designated EHV charges'!$A:$P,12,FALSE)),"")</f>
        <v/>
      </c>
    </row>
    <row r="133" spans="1:8" x14ac:dyDescent="0.2">
      <c r="A133" s="53" t="str">
        <f t="array" ref="A133">IFERROR(INDEX('Annex 2 Designated EHV charges'!$A$11:$A$58, MATCH(0, IF(ISBLANK('Annex 2 Designated EHV charges'!$A$11:$A$58),1, COUNTIF(A$4:$A132, 'Annex 2 Designated EHV charges'!$A$11:$A$58)), 0)),"")</f>
        <v/>
      </c>
      <c r="B133" s="53" t="str">
        <f>IF($A133="","",VLOOKUP($A133,'Annex 2 Designated EHV charges'!$A:$O,2,0))</f>
        <v/>
      </c>
      <c r="C133" s="61" t="str">
        <f>IF($A133="","",VLOOKUP($A133,'Annex 2 Designated EHV charges'!$A:$O,3,0))</f>
        <v/>
      </c>
      <c r="D133" s="61" t="str">
        <f>IF($A133="","",VLOOKUP($A133,'Annex 2 Designated EHV charges'!$A:$O,7,0))</f>
        <v/>
      </c>
      <c r="E133" s="62" t="str">
        <f>IFERROR(IF(VLOOKUP($A133,'Annex 2 Designated EHV charges'!$A:$P,9,FALSE)=0,"",VLOOKUP($A133,'Annex 2 Designated EHV charges'!$A:$P,9,FALSE)),"")</f>
        <v/>
      </c>
      <c r="F133" s="208" t="str">
        <f>IFERROR(IF(VLOOKUP($A133,'Annex 2 Designated EHV charges'!$A:$P,10,FALSE)=0,"",VLOOKUP($A133,'Annex 2 Designated EHV charges'!$A:$P,10,FALSE)),"")</f>
        <v/>
      </c>
      <c r="G133" s="63" t="str">
        <f>IFERROR(IF(VLOOKUP($A133,'Annex 2 Designated EHV charges'!$A:$P,11,FALSE)=0,"",VLOOKUP($A133,'Annex 2 Designated EHV charges'!$A:$P,11,FALSE)),"")</f>
        <v/>
      </c>
      <c r="H133" s="53" t="str">
        <f>IFERROR(IF(VLOOKUP($A133,'Annex 2 Designated EHV charges'!$A:$P,12,FALSE)=0,"",VLOOKUP($A133,'Annex 2 Designated EHV charges'!$A:$P,12,FALSE)),"")</f>
        <v/>
      </c>
    </row>
    <row r="134" spans="1:8" x14ac:dyDescent="0.2">
      <c r="A134" s="53" t="str">
        <f t="array" ref="A134">IFERROR(INDEX('Annex 2 Designated EHV charges'!$A$11:$A$58, MATCH(0, IF(ISBLANK('Annex 2 Designated EHV charges'!$A$11:$A$58),1, COUNTIF(A$4:$A133, 'Annex 2 Designated EHV charges'!$A$11:$A$58)), 0)),"")</f>
        <v/>
      </c>
      <c r="B134" s="53" t="str">
        <f>IF($A134="","",VLOOKUP($A134,'Annex 2 Designated EHV charges'!$A:$O,2,0))</f>
        <v/>
      </c>
      <c r="C134" s="61" t="str">
        <f>IF($A134="","",VLOOKUP($A134,'Annex 2 Designated EHV charges'!$A:$O,3,0))</f>
        <v/>
      </c>
      <c r="D134" s="61" t="str">
        <f>IF($A134="","",VLOOKUP($A134,'Annex 2 Designated EHV charges'!$A:$O,7,0))</f>
        <v/>
      </c>
      <c r="E134" s="62" t="str">
        <f>IFERROR(IF(VLOOKUP($A134,'Annex 2 Designated EHV charges'!$A:$P,9,FALSE)=0,"",VLOOKUP($A134,'Annex 2 Designated EHV charges'!$A:$P,9,FALSE)),"")</f>
        <v/>
      </c>
      <c r="F134" s="208" t="str">
        <f>IFERROR(IF(VLOOKUP($A134,'Annex 2 Designated EHV charges'!$A:$P,10,FALSE)=0,"",VLOOKUP($A134,'Annex 2 Designated EHV charges'!$A:$P,10,FALSE)),"")</f>
        <v/>
      </c>
      <c r="G134" s="63" t="str">
        <f>IFERROR(IF(VLOOKUP($A134,'Annex 2 Designated EHV charges'!$A:$P,11,FALSE)=0,"",VLOOKUP($A134,'Annex 2 Designated EHV charges'!$A:$P,11,FALSE)),"")</f>
        <v/>
      </c>
      <c r="H134" s="53" t="str">
        <f>IFERROR(IF(VLOOKUP($A134,'Annex 2 Designated EHV charges'!$A:$P,12,FALSE)=0,"",VLOOKUP($A134,'Annex 2 Designated EHV charges'!$A:$P,12,FALSE)),"")</f>
        <v/>
      </c>
    </row>
    <row r="135" spans="1:8" x14ac:dyDescent="0.2">
      <c r="A135" s="53" t="str">
        <f t="array" ref="A135">IFERROR(INDEX('Annex 2 Designated EHV charges'!$A$11:$A$58, MATCH(0, IF(ISBLANK('Annex 2 Designated EHV charges'!$A$11:$A$58),1, COUNTIF(A$4:$A134, 'Annex 2 Designated EHV charges'!$A$11:$A$58)), 0)),"")</f>
        <v/>
      </c>
      <c r="B135" s="53" t="str">
        <f>IF($A135="","",VLOOKUP($A135,'Annex 2 Designated EHV charges'!$A:$O,2,0))</f>
        <v/>
      </c>
      <c r="C135" s="61" t="str">
        <f>IF($A135="","",VLOOKUP($A135,'Annex 2 Designated EHV charges'!$A:$O,3,0))</f>
        <v/>
      </c>
      <c r="D135" s="61" t="str">
        <f>IF($A135="","",VLOOKUP($A135,'Annex 2 Designated EHV charges'!$A:$O,7,0))</f>
        <v/>
      </c>
      <c r="E135" s="62" t="str">
        <f>IFERROR(IF(VLOOKUP($A135,'Annex 2 Designated EHV charges'!$A:$P,9,FALSE)=0,"",VLOOKUP($A135,'Annex 2 Designated EHV charges'!$A:$P,9,FALSE)),"")</f>
        <v/>
      </c>
      <c r="F135" s="208" t="str">
        <f>IFERROR(IF(VLOOKUP($A135,'Annex 2 Designated EHV charges'!$A:$P,10,FALSE)=0,"",VLOOKUP($A135,'Annex 2 Designated EHV charges'!$A:$P,10,FALSE)),"")</f>
        <v/>
      </c>
      <c r="G135" s="63" t="str">
        <f>IFERROR(IF(VLOOKUP($A135,'Annex 2 Designated EHV charges'!$A:$P,11,FALSE)=0,"",VLOOKUP($A135,'Annex 2 Designated EHV charges'!$A:$P,11,FALSE)),"")</f>
        <v/>
      </c>
      <c r="H135" s="53" t="str">
        <f>IFERROR(IF(VLOOKUP($A135,'Annex 2 Designated EHV charges'!$A:$P,12,FALSE)=0,"",VLOOKUP($A135,'Annex 2 Designated EHV charges'!$A:$P,12,FALSE)),"")</f>
        <v/>
      </c>
    </row>
    <row r="136" spans="1:8" x14ac:dyDescent="0.2">
      <c r="A136" s="53" t="str">
        <f t="array" ref="A136">IFERROR(INDEX('Annex 2 Designated EHV charges'!$A$11:$A$58, MATCH(0, IF(ISBLANK('Annex 2 Designated EHV charges'!$A$11:$A$58),1, COUNTIF(A$4:$A135, 'Annex 2 Designated EHV charges'!$A$11:$A$58)), 0)),"")</f>
        <v/>
      </c>
      <c r="B136" s="53" t="str">
        <f>IF($A136="","",VLOOKUP($A136,'Annex 2 Designated EHV charges'!$A:$O,2,0))</f>
        <v/>
      </c>
      <c r="C136" s="61" t="str">
        <f>IF($A136="","",VLOOKUP($A136,'Annex 2 Designated EHV charges'!$A:$O,3,0))</f>
        <v/>
      </c>
      <c r="D136" s="61" t="str">
        <f>IF($A136="","",VLOOKUP($A136,'Annex 2 Designated EHV charges'!$A:$O,7,0))</f>
        <v/>
      </c>
      <c r="E136" s="62" t="str">
        <f>IFERROR(IF(VLOOKUP($A136,'Annex 2 Designated EHV charges'!$A:$P,9,FALSE)=0,"",VLOOKUP($A136,'Annex 2 Designated EHV charges'!$A:$P,9,FALSE)),"")</f>
        <v/>
      </c>
      <c r="F136" s="208" t="str">
        <f>IFERROR(IF(VLOOKUP($A136,'Annex 2 Designated EHV charges'!$A:$P,10,FALSE)=0,"",VLOOKUP($A136,'Annex 2 Designated EHV charges'!$A:$P,10,FALSE)),"")</f>
        <v/>
      </c>
      <c r="G136" s="63" t="str">
        <f>IFERROR(IF(VLOOKUP($A136,'Annex 2 Designated EHV charges'!$A:$P,11,FALSE)=0,"",VLOOKUP($A136,'Annex 2 Designated EHV charges'!$A:$P,11,FALSE)),"")</f>
        <v/>
      </c>
      <c r="H136" s="53" t="str">
        <f>IFERROR(IF(VLOOKUP($A136,'Annex 2 Designated EHV charges'!$A:$P,12,FALSE)=0,"",VLOOKUP($A136,'Annex 2 Designated EHV charges'!$A:$P,12,FALSE)),"")</f>
        <v/>
      </c>
    </row>
    <row r="137" spans="1:8" x14ac:dyDescent="0.2">
      <c r="A137" s="53" t="str">
        <f t="array" ref="A137">IFERROR(INDEX('Annex 2 Designated EHV charges'!$A$11:$A$58, MATCH(0, IF(ISBLANK('Annex 2 Designated EHV charges'!$A$11:$A$58),1, COUNTIF(A$4:$A136, 'Annex 2 Designated EHV charges'!$A$11:$A$58)), 0)),"")</f>
        <v/>
      </c>
      <c r="B137" s="53" t="str">
        <f>IF($A137="","",VLOOKUP($A137,'Annex 2 Designated EHV charges'!$A:$O,2,0))</f>
        <v/>
      </c>
      <c r="C137" s="61" t="str">
        <f>IF($A137="","",VLOOKUP($A137,'Annex 2 Designated EHV charges'!$A:$O,3,0))</f>
        <v/>
      </c>
      <c r="D137" s="61" t="str">
        <f>IF($A137="","",VLOOKUP($A137,'Annex 2 Designated EHV charges'!$A:$O,7,0))</f>
        <v/>
      </c>
      <c r="E137" s="62" t="str">
        <f>IFERROR(IF(VLOOKUP($A137,'Annex 2 Designated EHV charges'!$A:$P,9,FALSE)=0,"",VLOOKUP($A137,'Annex 2 Designated EHV charges'!$A:$P,9,FALSE)),"")</f>
        <v/>
      </c>
      <c r="F137" s="208" t="str">
        <f>IFERROR(IF(VLOOKUP($A137,'Annex 2 Designated EHV charges'!$A:$P,10,FALSE)=0,"",VLOOKUP($A137,'Annex 2 Designated EHV charges'!$A:$P,10,FALSE)),"")</f>
        <v/>
      </c>
      <c r="G137" s="63" t="str">
        <f>IFERROR(IF(VLOOKUP($A137,'Annex 2 Designated EHV charges'!$A:$P,11,FALSE)=0,"",VLOOKUP($A137,'Annex 2 Designated EHV charges'!$A:$P,11,FALSE)),"")</f>
        <v/>
      </c>
      <c r="H137" s="53" t="str">
        <f>IFERROR(IF(VLOOKUP($A137,'Annex 2 Designated EHV charges'!$A:$P,12,FALSE)=0,"",VLOOKUP($A137,'Annex 2 Designated EHV charges'!$A:$P,12,FALSE)),"")</f>
        <v/>
      </c>
    </row>
    <row r="138" spans="1:8" x14ac:dyDescent="0.2">
      <c r="A138" s="53" t="str">
        <f t="array" ref="A138">IFERROR(INDEX('Annex 2 Designated EHV charges'!$A$11:$A$58, MATCH(0, IF(ISBLANK('Annex 2 Designated EHV charges'!$A$11:$A$58),1, COUNTIF(A$4:$A137, 'Annex 2 Designated EHV charges'!$A$11:$A$58)), 0)),"")</f>
        <v/>
      </c>
      <c r="B138" s="53" t="str">
        <f>IF($A138="","",VLOOKUP($A138,'Annex 2 Designated EHV charges'!$A:$O,2,0))</f>
        <v/>
      </c>
      <c r="C138" s="61" t="str">
        <f>IF($A138="","",VLOOKUP($A138,'Annex 2 Designated EHV charges'!$A:$O,3,0))</f>
        <v/>
      </c>
      <c r="D138" s="61" t="str">
        <f>IF($A138="","",VLOOKUP($A138,'Annex 2 Designated EHV charges'!$A:$O,7,0))</f>
        <v/>
      </c>
      <c r="E138" s="62" t="str">
        <f>IFERROR(IF(VLOOKUP($A138,'Annex 2 Designated EHV charges'!$A:$P,9,FALSE)=0,"",VLOOKUP($A138,'Annex 2 Designated EHV charges'!$A:$P,9,FALSE)),"")</f>
        <v/>
      </c>
      <c r="F138" s="208" t="str">
        <f>IFERROR(IF(VLOOKUP($A138,'Annex 2 Designated EHV charges'!$A:$P,10,FALSE)=0,"",VLOOKUP($A138,'Annex 2 Designated EHV charges'!$A:$P,10,FALSE)),"")</f>
        <v/>
      </c>
      <c r="G138" s="63" t="str">
        <f>IFERROR(IF(VLOOKUP($A138,'Annex 2 Designated EHV charges'!$A:$P,11,FALSE)=0,"",VLOOKUP($A138,'Annex 2 Designated EHV charges'!$A:$P,11,FALSE)),"")</f>
        <v/>
      </c>
      <c r="H138" s="53" t="str">
        <f>IFERROR(IF(VLOOKUP($A138,'Annex 2 Designated EHV charges'!$A:$P,12,FALSE)=0,"",VLOOKUP($A138,'Annex 2 Designated EHV charges'!$A:$P,12,FALSE)),"")</f>
        <v/>
      </c>
    </row>
    <row r="139" spans="1:8" x14ac:dyDescent="0.2">
      <c r="A139" s="53" t="str">
        <f t="array" ref="A139">IFERROR(INDEX('Annex 2 Designated EHV charges'!$A$11:$A$58, MATCH(0, IF(ISBLANK('Annex 2 Designated EHV charges'!$A$11:$A$58),1, COUNTIF(A$4:$A138, 'Annex 2 Designated EHV charges'!$A$11:$A$58)), 0)),"")</f>
        <v/>
      </c>
      <c r="B139" s="53" t="str">
        <f>IF($A139="","",VLOOKUP($A139,'Annex 2 Designated EHV charges'!$A:$O,2,0))</f>
        <v/>
      </c>
      <c r="C139" s="61" t="str">
        <f>IF($A139="","",VLOOKUP($A139,'Annex 2 Designated EHV charges'!$A:$O,3,0))</f>
        <v/>
      </c>
      <c r="D139" s="61" t="str">
        <f>IF($A139="","",VLOOKUP($A139,'Annex 2 Designated EHV charges'!$A:$O,7,0))</f>
        <v/>
      </c>
      <c r="E139" s="62" t="str">
        <f>IFERROR(IF(VLOOKUP($A139,'Annex 2 Designated EHV charges'!$A:$P,9,FALSE)=0,"",VLOOKUP($A139,'Annex 2 Designated EHV charges'!$A:$P,9,FALSE)),"")</f>
        <v/>
      </c>
      <c r="F139" s="208" t="str">
        <f>IFERROR(IF(VLOOKUP($A139,'Annex 2 Designated EHV charges'!$A:$P,10,FALSE)=0,"",VLOOKUP($A139,'Annex 2 Designated EHV charges'!$A:$P,10,FALSE)),"")</f>
        <v/>
      </c>
      <c r="G139" s="63" t="str">
        <f>IFERROR(IF(VLOOKUP($A139,'Annex 2 Designated EHV charges'!$A:$P,11,FALSE)=0,"",VLOOKUP($A139,'Annex 2 Designated EHV charges'!$A:$P,11,FALSE)),"")</f>
        <v/>
      </c>
      <c r="H139" s="53" t="str">
        <f>IFERROR(IF(VLOOKUP($A139,'Annex 2 Designated EHV charges'!$A:$P,12,FALSE)=0,"",VLOOKUP($A139,'Annex 2 Designated EHV charges'!$A:$P,12,FALSE)),"")</f>
        <v/>
      </c>
    </row>
    <row r="140" spans="1:8" x14ac:dyDescent="0.2">
      <c r="A140" s="53" t="str">
        <f t="array" ref="A140">IFERROR(INDEX('Annex 2 Designated EHV charges'!$A$11:$A$58, MATCH(0, IF(ISBLANK('Annex 2 Designated EHV charges'!$A$11:$A$58),1, COUNTIF(A$4:$A139, 'Annex 2 Designated EHV charges'!$A$11:$A$58)), 0)),"")</f>
        <v/>
      </c>
      <c r="B140" s="53" t="str">
        <f>IF($A140="","",VLOOKUP($A140,'Annex 2 Designated EHV charges'!$A:$O,2,0))</f>
        <v/>
      </c>
      <c r="C140" s="61" t="str">
        <f>IF($A140="","",VLOOKUP($A140,'Annex 2 Designated EHV charges'!$A:$O,3,0))</f>
        <v/>
      </c>
      <c r="D140" s="61" t="str">
        <f>IF($A140="","",VLOOKUP($A140,'Annex 2 Designated EHV charges'!$A:$O,7,0))</f>
        <v/>
      </c>
      <c r="E140" s="62" t="str">
        <f>IFERROR(IF(VLOOKUP($A140,'Annex 2 Designated EHV charges'!$A:$P,9,FALSE)=0,"",VLOOKUP($A140,'Annex 2 Designated EHV charges'!$A:$P,9,FALSE)),"")</f>
        <v/>
      </c>
      <c r="F140" s="208" t="str">
        <f>IFERROR(IF(VLOOKUP($A140,'Annex 2 Designated EHV charges'!$A:$P,10,FALSE)=0,"",VLOOKUP($A140,'Annex 2 Designated EHV charges'!$A:$P,10,FALSE)),"")</f>
        <v/>
      </c>
      <c r="G140" s="63" t="str">
        <f>IFERROR(IF(VLOOKUP($A140,'Annex 2 Designated EHV charges'!$A:$P,11,FALSE)=0,"",VLOOKUP($A140,'Annex 2 Designated EHV charges'!$A:$P,11,FALSE)),"")</f>
        <v/>
      </c>
      <c r="H140" s="53" t="str">
        <f>IFERROR(IF(VLOOKUP($A140,'Annex 2 Designated EHV charges'!$A:$P,12,FALSE)=0,"",VLOOKUP($A140,'Annex 2 Designated EHV charges'!$A:$P,12,FALSE)),"")</f>
        <v/>
      </c>
    </row>
    <row r="141" spans="1:8" x14ac:dyDescent="0.2">
      <c r="A141" s="53" t="str">
        <f t="array" ref="A141">IFERROR(INDEX('Annex 2 Designated EHV charges'!$A$11:$A$58, MATCH(0, IF(ISBLANK('Annex 2 Designated EHV charges'!$A$11:$A$58),1, COUNTIF(A$4:$A140, 'Annex 2 Designated EHV charges'!$A$11:$A$58)), 0)),"")</f>
        <v/>
      </c>
      <c r="B141" s="53" t="str">
        <f>IF($A141="","",VLOOKUP($A141,'Annex 2 Designated EHV charges'!$A:$O,2,0))</f>
        <v/>
      </c>
      <c r="C141" s="61" t="str">
        <f>IF($A141="","",VLOOKUP($A141,'Annex 2 Designated EHV charges'!$A:$O,3,0))</f>
        <v/>
      </c>
      <c r="D141" s="61" t="str">
        <f>IF($A141="","",VLOOKUP($A141,'Annex 2 Designated EHV charges'!$A:$O,7,0))</f>
        <v/>
      </c>
      <c r="E141" s="62" t="str">
        <f>IFERROR(IF(VLOOKUP($A141,'Annex 2 Designated EHV charges'!$A:$P,9,FALSE)=0,"",VLOOKUP($A141,'Annex 2 Designated EHV charges'!$A:$P,9,FALSE)),"")</f>
        <v/>
      </c>
      <c r="F141" s="208" t="str">
        <f>IFERROR(IF(VLOOKUP($A141,'Annex 2 Designated EHV charges'!$A:$P,10,FALSE)=0,"",VLOOKUP($A141,'Annex 2 Designated EHV charges'!$A:$P,10,FALSE)),"")</f>
        <v/>
      </c>
      <c r="G141" s="63" t="str">
        <f>IFERROR(IF(VLOOKUP($A141,'Annex 2 Designated EHV charges'!$A:$P,11,FALSE)=0,"",VLOOKUP($A141,'Annex 2 Designated EHV charges'!$A:$P,11,FALSE)),"")</f>
        <v/>
      </c>
      <c r="H141" s="53" t="str">
        <f>IFERROR(IF(VLOOKUP($A141,'Annex 2 Designated EHV charges'!$A:$P,12,FALSE)=0,"",VLOOKUP($A141,'Annex 2 Designated EHV charges'!$A:$P,12,FALSE)),"")</f>
        <v/>
      </c>
    </row>
    <row r="142" spans="1:8" x14ac:dyDescent="0.2">
      <c r="A142" s="53" t="str">
        <f t="array" ref="A142">IFERROR(INDEX('Annex 2 Designated EHV charges'!$A$11:$A$58, MATCH(0, IF(ISBLANK('Annex 2 Designated EHV charges'!$A$11:$A$58),1, COUNTIF(A$4:$A141, 'Annex 2 Designated EHV charges'!$A$11:$A$58)), 0)),"")</f>
        <v/>
      </c>
      <c r="B142" s="53" t="str">
        <f>IF($A142="","",VLOOKUP($A142,'Annex 2 Designated EHV charges'!$A:$O,2,0))</f>
        <v/>
      </c>
      <c r="C142" s="61" t="str">
        <f>IF($A142="","",VLOOKUP($A142,'Annex 2 Designated EHV charges'!$A:$O,3,0))</f>
        <v/>
      </c>
      <c r="D142" s="61" t="str">
        <f>IF($A142="","",VLOOKUP($A142,'Annex 2 Designated EHV charges'!$A:$O,7,0))</f>
        <v/>
      </c>
      <c r="E142" s="62" t="str">
        <f>IFERROR(IF(VLOOKUP($A142,'Annex 2 Designated EHV charges'!$A:$P,9,FALSE)=0,"",VLOOKUP($A142,'Annex 2 Designated EHV charges'!$A:$P,9,FALSE)),"")</f>
        <v/>
      </c>
      <c r="F142" s="208" t="str">
        <f>IFERROR(IF(VLOOKUP($A142,'Annex 2 Designated EHV charges'!$A:$P,10,FALSE)=0,"",VLOOKUP($A142,'Annex 2 Designated EHV charges'!$A:$P,10,FALSE)),"")</f>
        <v/>
      </c>
      <c r="G142" s="63" t="str">
        <f>IFERROR(IF(VLOOKUP($A142,'Annex 2 Designated EHV charges'!$A:$P,11,FALSE)=0,"",VLOOKUP($A142,'Annex 2 Designated EHV charges'!$A:$P,11,FALSE)),"")</f>
        <v/>
      </c>
      <c r="H142" s="53" t="str">
        <f>IFERROR(IF(VLOOKUP($A142,'Annex 2 Designated EHV charges'!$A:$P,12,FALSE)=0,"",VLOOKUP($A142,'Annex 2 Designated EHV charges'!$A:$P,12,FALSE)),"")</f>
        <v/>
      </c>
    </row>
    <row r="143" spans="1:8" x14ac:dyDescent="0.2">
      <c r="A143" s="53" t="str">
        <f t="array" ref="A143">IFERROR(INDEX('Annex 2 Designated EHV charges'!$A$11:$A$58, MATCH(0, IF(ISBLANK('Annex 2 Designated EHV charges'!$A$11:$A$58),1, COUNTIF(A$4:$A142, 'Annex 2 Designated EHV charges'!$A$11:$A$58)), 0)),"")</f>
        <v/>
      </c>
      <c r="B143" s="53" t="str">
        <f>IF($A143="","",VLOOKUP($A143,'Annex 2 Designated EHV charges'!$A:$O,2,0))</f>
        <v/>
      </c>
      <c r="C143" s="61" t="str">
        <f>IF($A143="","",VLOOKUP($A143,'Annex 2 Designated EHV charges'!$A:$O,3,0))</f>
        <v/>
      </c>
      <c r="D143" s="61" t="str">
        <f>IF($A143="","",VLOOKUP($A143,'Annex 2 Designated EHV charges'!$A:$O,7,0))</f>
        <v/>
      </c>
      <c r="E143" s="62" t="str">
        <f>IFERROR(IF(VLOOKUP($A143,'Annex 2 Designated EHV charges'!$A:$P,9,FALSE)=0,"",VLOOKUP($A143,'Annex 2 Designated EHV charges'!$A:$P,9,FALSE)),"")</f>
        <v/>
      </c>
      <c r="F143" s="208" t="str">
        <f>IFERROR(IF(VLOOKUP($A143,'Annex 2 Designated EHV charges'!$A:$P,10,FALSE)=0,"",VLOOKUP($A143,'Annex 2 Designated EHV charges'!$A:$P,10,FALSE)),"")</f>
        <v/>
      </c>
      <c r="G143" s="63" t="str">
        <f>IFERROR(IF(VLOOKUP($A143,'Annex 2 Designated EHV charges'!$A:$P,11,FALSE)=0,"",VLOOKUP($A143,'Annex 2 Designated EHV charges'!$A:$P,11,FALSE)),"")</f>
        <v/>
      </c>
      <c r="H143" s="53" t="str">
        <f>IFERROR(IF(VLOOKUP($A143,'Annex 2 Designated EHV charges'!$A:$P,12,FALSE)=0,"",VLOOKUP($A143,'Annex 2 Designated EHV charges'!$A:$P,12,FALSE)),"")</f>
        <v/>
      </c>
    </row>
    <row r="144" spans="1:8" x14ac:dyDescent="0.2">
      <c r="A144" s="53" t="str">
        <f t="array" ref="A144">IFERROR(INDEX('Annex 2 Designated EHV charges'!$A$11:$A$58, MATCH(0, IF(ISBLANK('Annex 2 Designated EHV charges'!$A$11:$A$58),1, COUNTIF(A$4:$A143, 'Annex 2 Designated EHV charges'!$A$11:$A$58)), 0)),"")</f>
        <v/>
      </c>
      <c r="B144" s="53" t="str">
        <f>IF($A144="","",VLOOKUP($A144,'Annex 2 Designated EHV charges'!$A:$O,2,0))</f>
        <v/>
      </c>
      <c r="C144" s="61" t="str">
        <f>IF($A144="","",VLOOKUP($A144,'Annex 2 Designated EHV charges'!$A:$O,3,0))</f>
        <v/>
      </c>
      <c r="D144" s="61" t="str">
        <f>IF($A144="","",VLOOKUP($A144,'Annex 2 Designated EHV charges'!$A:$O,7,0))</f>
        <v/>
      </c>
      <c r="E144" s="62" t="str">
        <f>IFERROR(IF(VLOOKUP($A144,'Annex 2 Designated EHV charges'!$A:$P,9,FALSE)=0,"",VLOOKUP($A144,'Annex 2 Designated EHV charges'!$A:$P,9,FALSE)),"")</f>
        <v/>
      </c>
      <c r="F144" s="208" t="str">
        <f>IFERROR(IF(VLOOKUP($A144,'Annex 2 Designated EHV charges'!$A:$P,10,FALSE)=0,"",VLOOKUP($A144,'Annex 2 Designated EHV charges'!$A:$P,10,FALSE)),"")</f>
        <v/>
      </c>
      <c r="G144" s="63" t="str">
        <f>IFERROR(IF(VLOOKUP($A144,'Annex 2 Designated EHV charges'!$A:$P,11,FALSE)=0,"",VLOOKUP($A144,'Annex 2 Designated EHV charges'!$A:$P,11,FALSE)),"")</f>
        <v/>
      </c>
      <c r="H144" s="53" t="str">
        <f>IFERROR(IF(VLOOKUP($A144,'Annex 2 Designated EHV charges'!$A:$P,12,FALSE)=0,"",VLOOKUP($A144,'Annex 2 Designated EHV charges'!$A:$P,12,FALSE)),"")</f>
        <v/>
      </c>
    </row>
    <row r="145" spans="1:8" x14ac:dyDescent="0.2">
      <c r="A145" s="53" t="str">
        <f t="array" ref="A145">IFERROR(INDEX('Annex 2 Designated EHV charges'!$A$11:$A$58, MATCH(0, IF(ISBLANK('Annex 2 Designated EHV charges'!$A$11:$A$58),1, COUNTIF(A$4:$A144, 'Annex 2 Designated EHV charges'!$A$11:$A$58)), 0)),"")</f>
        <v/>
      </c>
      <c r="B145" s="53" t="str">
        <f>IF($A145="","",VLOOKUP($A145,'Annex 2 Designated EHV charges'!$A:$O,2,0))</f>
        <v/>
      </c>
      <c r="C145" s="61" t="str">
        <f>IF($A145="","",VLOOKUP($A145,'Annex 2 Designated EHV charges'!$A:$O,3,0))</f>
        <v/>
      </c>
      <c r="D145" s="61" t="str">
        <f>IF($A145="","",VLOOKUP($A145,'Annex 2 Designated EHV charges'!$A:$O,7,0))</f>
        <v/>
      </c>
      <c r="E145" s="62" t="str">
        <f>IFERROR(IF(VLOOKUP($A145,'Annex 2 Designated EHV charges'!$A:$P,9,FALSE)=0,"",VLOOKUP($A145,'Annex 2 Designated EHV charges'!$A:$P,9,FALSE)),"")</f>
        <v/>
      </c>
      <c r="F145" s="208" t="str">
        <f>IFERROR(IF(VLOOKUP($A145,'Annex 2 Designated EHV charges'!$A:$P,10,FALSE)=0,"",VLOOKUP($A145,'Annex 2 Designated EHV charges'!$A:$P,10,FALSE)),"")</f>
        <v/>
      </c>
      <c r="G145" s="63" t="str">
        <f>IFERROR(IF(VLOOKUP($A145,'Annex 2 Designated EHV charges'!$A:$P,11,FALSE)=0,"",VLOOKUP($A145,'Annex 2 Designated EHV charges'!$A:$P,11,FALSE)),"")</f>
        <v/>
      </c>
      <c r="H145" s="53" t="str">
        <f>IFERROR(IF(VLOOKUP($A145,'Annex 2 Designated EHV charges'!$A:$P,12,FALSE)=0,"",VLOOKUP($A145,'Annex 2 Designated EHV charges'!$A:$P,12,FALSE)),"")</f>
        <v/>
      </c>
    </row>
    <row r="146" spans="1:8" x14ac:dyDescent="0.2">
      <c r="A146" s="53" t="str">
        <f t="array" ref="A146">IFERROR(INDEX('Annex 2 Designated EHV charges'!$A$11:$A$58, MATCH(0, IF(ISBLANK('Annex 2 Designated EHV charges'!$A$11:$A$58),1, COUNTIF(A$4:$A145, 'Annex 2 Designated EHV charges'!$A$11:$A$58)), 0)),"")</f>
        <v/>
      </c>
      <c r="B146" s="53" t="str">
        <f>IF($A146="","",VLOOKUP($A146,'Annex 2 Designated EHV charges'!$A:$O,2,0))</f>
        <v/>
      </c>
      <c r="C146" s="61" t="str">
        <f>IF($A146="","",VLOOKUP($A146,'Annex 2 Designated EHV charges'!$A:$O,3,0))</f>
        <v/>
      </c>
      <c r="D146" s="61" t="str">
        <f>IF($A146="","",VLOOKUP($A146,'Annex 2 Designated EHV charges'!$A:$O,7,0))</f>
        <v/>
      </c>
      <c r="E146" s="62" t="str">
        <f>IFERROR(IF(VLOOKUP($A146,'Annex 2 Designated EHV charges'!$A:$P,9,FALSE)=0,"",VLOOKUP($A146,'Annex 2 Designated EHV charges'!$A:$P,9,FALSE)),"")</f>
        <v/>
      </c>
      <c r="F146" s="208" t="str">
        <f>IFERROR(IF(VLOOKUP($A146,'Annex 2 Designated EHV charges'!$A:$P,10,FALSE)=0,"",VLOOKUP($A146,'Annex 2 Designated EHV charges'!$A:$P,10,FALSE)),"")</f>
        <v/>
      </c>
      <c r="G146" s="63" t="str">
        <f>IFERROR(IF(VLOOKUP($A146,'Annex 2 Designated EHV charges'!$A:$P,11,FALSE)=0,"",VLOOKUP($A146,'Annex 2 Designated EHV charges'!$A:$P,11,FALSE)),"")</f>
        <v/>
      </c>
      <c r="H146" s="53" t="str">
        <f>IFERROR(IF(VLOOKUP($A146,'Annex 2 Designated EHV charges'!$A:$P,12,FALSE)=0,"",VLOOKUP($A146,'Annex 2 Designated EHV charges'!$A:$P,12,FALSE)),"")</f>
        <v/>
      </c>
    </row>
    <row r="147" spans="1:8" x14ac:dyDescent="0.2">
      <c r="A147" s="53" t="str">
        <f t="array" ref="A147">IFERROR(INDEX('Annex 2 Designated EHV charges'!$A$11:$A$58, MATCH(0, IF(ISBLANK('Annex 2 Designated EHV charges'!$A$11:$A$58),1, COUNTIF(A$4:$A146, 'Annex 2 Designated EHV charges'!$A$11:$A$58)), 0)),"")</f>
        <v/>
      </c>
      <c r="B147" s="53" t="str">
        <f>IF($A147="","",VLOOKUP($A147,'Annex 2 Designated EHV charges'!$A:$O,2,0))</f>
        <v/>
      </c>
      <c r="C147" s="61" t="str">
        <f>IF($A147="","",VLOOKUP($A147,'Annex 2 Designated EHV charges'!$A:$O,3,0))</f>
        <v/>
      </c>
      <c r="D147" s="61" t="str">
        <f>IF($A147="","",VLOOKUP($A147,'Annex 2 Designated EHV charges'!$A:$O,7,0))</f>
        <v/>
      </c>
      <c r="E147" s="62" t="str">
        <f>IFERROR(IF(VLOOKUP($A147,'Annex 2 Designated EHV charges'!$A:$P,9,FALSE)=0,"",VLOOKUP($A147,'Annex 2 Designated EHV charges'!$A:$P,9,FALSE)),"")</f>
        <v/>
      </c>
      <c r="F147" s="208" t="str">
        <f>IFERROR(IF(VLOOKUP($A147,'Annex 2 Designated EHV charges'!$A:$P,10,FALSE)=0,"",VLOOKUP($A147,'Annex 2 Designated EHV charges'!$A:$P,10,FALSE)),"")</f>
        <v/>
      </c>
      <c r="G147" s="63" t="str">
        <f>IFERROR(IF(VLOOKUP($A147,'Annex 2 Designated EHV charges'!$A:$P,11,FALSE)=0,"",VLOOKUP($A147,'Annex 2 Designated EHV charges'!$A:$P,11,FALSE)),"")</f>
        <v/>
      </c>
      <c r="H147" s="53" t="str">
        <f>IFERROR(IF(VLOOKUP($A147,'Annex 2 Designated EHV charges'!$A:$P,12,FALSE)=0,"",VLOOKUP($A147,'Annex 2 Designated EHV charges'!$A:$P,12,FALSE)),"")</f>
        <v/>
      </c>
    </row>
    <row r="148" spans="1:8" x14ac:dyDescent="0.2">
      <c r="A148" s="53" t="str">
        <f t="array" ref="A148">IFERROR(INDEX('Annex 2 Designated EHV charges'!$A$11:$A$58, MATCH(0, IF(ISBLANK('Annex 2 Designated EHV charges'!$A$11:$A$58),1, COUNTIF(A$4:$A147, 'Annex 2 Designated EHV charges'!$A$11:$A$58)), 0)),"")</f>
        <v/>
      </c>
      <c r="B148" s="53" t="str">
        <f>IF($A148="","",VLOOKUP($A148,'Annex 2 Designated EHV charges'!$A:$O,2,0))</f>
        <v/>
      </c>
      <c r="C148" s="61" t="str">
        <f>IF($A148="","",VLOOKUP($A148,'Annex 2 Designated EHV charges'!$A:$O,3,0))</f>
        <v/>
      </c>
      <c r="D148" s="61" t="str">
        <f>IF($A148="","",VLOOKUP($A148,'Annex 2 Designated EHV charges'!$A:$O,7,0))</f>
        <v/>
      </c>
      <c r="E148" s="62" t="str">
        <f>IFERROR(IF(VLOOKUP($A148,'Annex 2 Designated EHV charges'!$A:$P,9,FALSE)=0,"",VLOOKUP($A148,'Annex 2 Designated EHV charges'!$A:$P,9,FALSE)),"")</f>
        <v/>
      </c>
      <c r="F148" s="208" t="str">
        <f>IFERROR(IF(VLOOKUP($A148,'Annex 2 Designated EHV charges'!$A:$P,10,FALSE)=0,"",VLOOKUP($A148,'Annex 2 Designated EHV charges'!$A:$P,10,FALSE)),"")</f>
        <v/>
      </c>
      <c r="G148" s="63" t="str">
        <f>IFERROR(IF(VLOOKUP($A148,'Annex 2 Designated EHV charges'!$A:$P,11,FALSE)=0,"",VLOOKUP($A148,'Annex 2 Designated EHV charges'!$A:$P,11,FALSE)),"")</f>
        <v/>
      </c>
      <c r="H148" s="53" t="str">
        <f>IFERROR(IF(VLOOKUP($A148,'Annex 2 Designated EHV charges'!$A:$P,12,FALSE)=0,"",VLOOKUP($A148,'Annex 2 Designated EHV charges'!$A:$P,12,FALSE)),"")</f>
        <v/>
      </c>
    </row>
    <row r="149" spans="1:8" x14ac:dyDescent="0.2">
      <c r="A149" s="53" t="str">
        <f t="array" ref="A149">IFERROR(INDEX('Annex 2 Designated EHV charges'!$A$11:$A$58, MATCH(0, IF(ISBLANK('Annex 2 Designated EHV charges'!$A$11:$A$58),1, COUNTIF(A$4:$A148, 'Annex 2 Designated EHV charges'!$A$11:$A$58)), 0)),"")</f>
        <v/>
      </c>
      <c r="B149" s="53" t="str">
        <f>IF($A149="","",VLOOKUP($A149,'Annex 2 Designated EHV charges'!$A:$O,2,0))</f>
        <v/>
      </c>
      <c r="C149" s="61" t="str">
        <f>IF($A149="","",VLOOKUP($A149,'Annex 2 Designated EHV charges'!$A:$O,3,0))</f>
        <v/>
      </c>
      <c r="D149" s="61" t="str">
        <f>IF($A149="","",VLOOKUP($A149,'Annex 2 Designated EHV charges'!$A:$O,7,0))</f>
        <v/>
      </c>
      <c r="E149" s="62" t="str">
        <f>IFERROR(IF(VLOOKUP($A149,'Annex 2 Designated EHV charges'!$A:$P,9,FALSE)=0,"",VLOOKUP($A149,'Annex 2 Designated EHV charges'!$A:$P,9,FALSE)),"")</f>
        <v/>
      </c>
      <c r="F149" s="208" t="str">
        <f>IFERROR(IF(VLOOKUP($A149,'Annex 2 Designated EHV charges'!$A:$P,10,FALSE)=0,"",VLOOKUP($A149,'Annex 2 Designated EHV charges'!$A:$P,10,FALSE)),"")</f>
        <v/>
      </c>
      <c r="G149" s="63" t="str">
        <f>IFERROR(IF(VLOOKUP($A149,'Annex 2 Designated EHV charges'!$A:$P,11,FALSE)=0,"",VLOOKUP($A149,'Annex 2 Designated EHV charges'!$A:$P,11,FALSE)),"")</f>
        <v/>
      </c>
      <c r="H149" s="53" t="str">
        <f>IFERROR(IF(VLOOKUP($A149,'Annex 2 Designated EHV charges'!$A:$P,12,FALSE)=0,"",VLOOKUP($A149,'Annex 2 Designated EHV charges'!$A:$P,12,FALSE)),"")</f>
        <v/>
      </c>
    </row>
    <row r="150" spans="1:8" x14ac:dyDescent="0.2">
      <c r="A150" s="53" t="str">
        <f t="array" ref="A150">IFERROR(INDEX('Annex 2 Designated EHV charges'!$A$11:$A$58, MATCH(0, IF(ISBLANK('Annex 2 Designated EHV charges'!$A$11:$A$58),1, COUNTIF(A$4:$A149, 'Annex 2 Designated EHV charges'!$A$11:$A$58)), 0)),"")</f>
        <v/>
      </c>
      <c r="B150" s="53" t="str">
        <f>IF($A150="","",VLOOKUP($A150,'Annex 2 Designated EHV charges'!$A:$O,2,0))</f>
        <v/>
      </c>
      <c r="C150" s="61" t="str">
        <f>IF($A150="","",VLOOKUP($A150,'Annex 2 Designated EHV charges'!$A:$O,3,0))</f>
        <v/>
      </c>
      <c r="D150" s="61" t="str">
        <f>IF($A150="","",VLOOKUP($A150,'Annex 2 Designated EHV charges'!$A:$O,7,0))</f>
        <v/>
      </c>
      <c r="E150" s="62" t="str">
        <f>IFERROR(IF(VLOOKUP($A150,'Annex 2 Designated EHV charges'!$A:$P,9,FALSE)=0,"",VLOOKUP($A150,'Annex 2 Designated EHV charges'!$A:$P,9,FALSE)),"")</f>
        <v/>
      </c>
      <c r="F150" s="208" t="str">
        <f>IFERROR(IF(VLOOKUP($A150,'Annex 2 Designated EHV charges'!$A:$P,10,FALSE)=0,"",VLOOKUP($A150,'Annex 2 Designated EHV charges'!$A:$P,10,FALSE)),"")</f>
        <v/>
      </c>
      <c r="G150" s="63" t="str">
        <f>IFERROR(IF(VLOOKUP($A150,'Annex 2 Designated EHV charges'!$A:$P,11,FALSE)=0,"",VLOOKUP($A150,'Annex 2 Designated EHV charges'!$A:$P,11,FALSE)),"")</f>
        <v/>
      </c>
      <c r="H150" s="53" t="str">
        <f>IFERROR(IF(VLOOKUP($A150,'Annex 2 Designated EHV charges'!$A:$P,12,FALSE)=0,"",VLOOKUP($A150,'Annex 2 Designated EHV charges'!$A:$P,12,FALSE)),"")</f>
        <v/>
      </c>
    </row>
    <row r="151" spans="1:8" x14ac:dyDescent="0.2">
      <c r="A151" s="53" t="str">
        <f t="array" ref="A151">IFERROR(INDEX('Annex 2 Designated EHV charges'!$A$11:$A$58, MATCH(0, IF(ISBLANK('Annex 2 Designated EHV charges'!$A$11:$A$58),1, COUNTIF(A$4:$A150, 'Annex 2 Designated EHV charges'!$A$11:$A$58)), 0)),"")</f>
        <v/>
      </c>
      <c r="B151" s="53" t="str">
        <f>IF($A151="","",VLOOKUP($A151,'Annex 2 Designated EHV charges'!$A:$O,2,0))</f>
        <v/>
      </c>
      <c r="C151" s="61" t="str">
        <f>IF($A151="","",VLOOKUP($A151,'Annex 2 Designated EHV charges'!$A:$O,3,0))</f>
        <v/>
      </c>
      <c r="D151" s="61" t="str">
        <f>IF($A151="","",VLOOKUP($A151,'Annex 2 Designated EHV charges'!$A:$O,7,0))</f>
        <v/>
      </c>
      <c r="E151" s="62" t="str">
        <f>IFERROR(IF(VLOOKUP($A151,'Annex 2 Designated EHV charges'!$A:$P,9,FALSE)=0,"",VLOOKUP($A151,'Annex 2 Designated EHV charges'!$A:$P,9,FALSE)),"")</f>
        <v/>
      </c>
      <c r="F151" s="208" t="str">
        <f>IFERROR(IF(VLOOKUP($A151,'Annex 2 Designated EHV charges'!$A:$P,10,FALSE)=0,"",VLOOKUP($A151,'Annex 2 Designated EHV charges'!$A:$P,10,FALSE)),"")</f>
        <v/>
      </c>
      <c r="G151" s="63" t="str">
        <f>IFERROR(IF(VLOOKUP($A151,'Annex 2 Designated EHV charges'!$A:$P,11,FALSE)=0,"",VLOOKUP($A151,'Annex 2 Designated EHV charges'!$A:$P,11,FALSE)),"")</f>
        <v/>
      </c>
      <c r="H151" s="53" t="str">
        <f>IFERROR(IF(VLOOKUP($A151,'Annex 2 Designated EHV charges'!$A:$P,12,FALSE)=0,"",VLOOKUP($A151,'Annex 2 Designated EHV charges'!$A:$P,12,FALSE)),"")</f>
        <v/>
      </c>
    </row>
    <row r="152" spans="1:8" x14ac:dyDescent="0.2">
      <c r="A152" s="53" t="str">
        <f t="array" ref="A152">IFERROR(INDEX('Annex 2 Designated EHV charges'!$A$11:$A$58, MATCH(0, IF(ISBLANK('Annex 2 Designated EHV charges'!$A$11:$A$58),1, COUNTIF(A$4:$A151, 'Annex 2 Designated EHV charges'!$A$11:$A$58)), 0)),"")</f>
        <v/>
      </c>
      <c r="B152" s="53" t="str">
        <f>IF($A152="","",VLOOKUP($A152,'Annex 2 Designated EHV charges'!$A:$O,2,0))</f>
        <v/>
      </c>
      <c r="C152" s="61" t="str">
        <f>IF($A152="","",VLOOKUP($A152,'Annex 2 Designated EHV charges'!$A:$O,3,0))</f>
        <v/>
      </c>
      <c r="D152" s="61" t="str">
        <f>IF($A152="","",VLOOKUP($A152,'Annex 2 Designated EHV charges'!$A:$O,7,0))</f>
        <v/>
      </c>
      <c r="E152" s="62" t="str">
        <f>IFERROR(IF(VLOOKUP($A152,'Annex 2 Designated EHV charges'!$A:$P,9,FALSE)=0,"",VLOOKUP($A152,'Annex 2 Designated EHV charges'!$A:$P,9,FALSE)),"")</f>
        <v/>
      </c>
      <c r="F152" s="208" t="str">
        <f>IFERROR(IF(VLOOKUP($A152,'Annex 2 Designated EHV charges'!$A:$P,10,FALSE)=0,"",VLOOKUP($A152,'Annex 2 Designated EHV charges'!$A:$P,10,FALSE)),"")</f>
        <v/>
      </c>
      <c r="G152" s="63" t="str">
        <f>IFERROR(IF(VLOOKUP($A152,'Annex 2 Designated EHV charges'!$A:$P,11,FALSE)=0,"",VLOOKUP($A152,'Annex 2 Designated EHV charges'!$A:$P,11,FALSE)),"")</f>
        <v/>
      </c>
      <c r="H152" s="53" t="str">
        <f>IFERROR(IF(VLOOKUP($A152,'Annex 2 Designated EHV charges'!$A:$P,12,FALSE)=0,"",VLOOKUP($A152,'Annex 2 Designated EHV charges'!$A:$P,12,FALSE)),"")</f>
        <v/>
      </c>
    </row>
    <row r="153" spans="1:8" x14ac:dyDescent="0.2">
      <c r="A153" s="53" t="str">
        <f t="array" ref="A153">IFERROR(INDEX('Annex 2 Designated EHV charges'!$A$11:$A$58, MATCH(0, IF(ISBLANK('Annex 2 Designated EHV charges'!$A$11:$A$58),1, COUNTIF(A$4:$A152, 'Annex 2 Designated EHV charges'!$A$11:$A$58)), 0)),"")</f>
        <v/>
      </c>
      <c r="B153" s="53" t="str">
        <f>IF($A153="","",VLOOKUP($A153,'Annex 2 Designated EHV charges'!$A:$O,2,0))</f>
        <v/>
      </c>
      <c r="C153" s="61" t="str">
        <f>IF($A153="","",VLOOKUP($A153,'Annex 2 Designated EHV charges'!$A:$O,3,0))</f>
        <v/>
      </c>
      <c r="D153" s="61" t="str">
        <f>IF($A153="","",VLOOKUP($A153,'Annex 2 Designated EHV charges'!$A:$O,7,0))</f>
        <v/>
      </c>
      <c r="E153" s="62" t="str">
        <f>IFERROR(IF(VLOOKUP($A153,'Annex 2 Designated EHV charges'!$A:$P,9,FALSE)=0,"",VLOOKUP($A153,'Annex 2 Designated EHV charges'!$A:$P,9,FALSE)),"")</f>
        <v/>
      </c>
      <c r="F153" s="208" t="str">
        <f>IFERROR(IF(VLOOKUP($A153,'Annex 2 Designated EHV charges'!$A:$P,10,FALSE)=0,"",VLOOKUP($A153,'Annex 2 Designated EHV charges'!$A:$P,10,FALSE)),"")</f>
        <v/>
      </c>
      <c r="G153" s="63" t="str">
        <f>IFERROR(IF(VLOOKUP($A153,'Annex 2 Designated EHV charges'!$A:$P,11,FALSE)=0,"",VLOOKUP($A153,'Annex 2 Designated EHV charges'!$A:$P,11,FALSE)),"")</f>
        <v/>
      </c>
      <c r="H153" s="53" t="str">
        <f>IFERROR(IF(VLOOKUP($A153,'Annex 2 Designated EHV charges'!$A:$P,12,FALSE)=0,"",VLOOKUP($A153,'Annex 2 Designated EHV charges'!$A:$P,12,FALSE)),"")</f>
        <v/>
      </c>
    </row>
    <row r="154" spans="1:8" x14ac:dyDescent="0.2">
      <c r="A154" s="53" t="str">
        <f t="array" ref="A154">IFERROR(INDEX('Annex 2 Designated EHV charges'!$A$11:$A$58, MATCH(0, IF(ISBLANK('Annex 2 Designated EHV charges'!$A$11:$A$58),1, COUNTIF(A$4:$A153, 'Annex 2 Designated EHV charges'!$A$11:$A$58)), 0)),"")</f>
        <v/>
      </c>
      <c r="B154" s="53" t="str">
        <f>IF($A154="","",VLOOKUP($A154,'Annex 2 Designated EHV charges'!$A:$O,2,0))</f>
        <v/>
      </c>
      <c r="C154" s="61" t="str">
        <f>IF($A154="","",VLOOKUP($A154,'Annex 2 Designated EHV charges'!$A:$O,3,0))</f>
        <v/>
      </c>
      <c r="D154" s="61" t="str">
        <f>IF($A154="","",VLOOKUP($A154,'Annex 2 Designated EHV charges'!$A:$O,7,0))</f>
        <v/>
      </c>
      <c r="E154" s="62" t="str">
        <f>IFERROR(IF(VLOOKUP($A154,'Annex 2 Designated EHV charges'!$A:$P,9,FALSE)=0,"",VLOOKUP($A154,'Annex 2 Designated EHV charges'!$A:$P,9,FALSE)),"")</f>
        <v/>
      </c>
      <c r="F154" s="208" t="str">
        <f>IFERROR(IF(VLOOKUP($A154,'Annex 2 Designated EHV charges'!$A:$P,10,FALSE)=0,"",VLOOKUP($A154,'Annex 2 Designated EHV charges'!$A:$P,10,FALSE)),"")</f>
        <v/>
      </c>
      <c r="G154" s="63" t="str">
        <f>IFERROR(IF(VLOOKUP($A154,'Annex 2 Designated EHV charges'!$A:$P,11,FALSE)=0,"",VLOOKUP($A154,'Annex 2 Designated EHV charges'!$A:$P,11,FALSE)),"")</f>
        <v/>
      </c>
      <c r="H154" s="53" t="str">
        <f>IFERROR(IF(VLOOKUP($A154,'Annex 2 Designated EHV charges'!$A:$P,12,FALSE)=0,"",VLOOKUP($A154,'Annex 2 Designated EHV charges'!$A:$P,12,FALSE)),"")</f>
        <v/>
      </c>
    </row>
    <row r="155" spans="1:8" x14ac:dyDescent="0.2">
      <c r="A155" s="53" t="str">
        <f t="array" ref="A155">IFERROR(INDEX('Annex 2 Designated EHV charges'!$A$11:$A$58, MATCH(0, IF(ISBLANK('Annex 2 Designated EHV charges'!$A$11:$A$58),1, COUNTIF(A$4:$A154, 'Annex 2 Designated EHV charges'!$A$11:$A$58)), 0)),"")</f>
        <v/>
      </c>
      <c r="B155" s="53" t="str">
        <f>IF($A155="","",VLOOKUP($A155,'Annex 2 Designated EHV charges'!$A:$O,2,0))</f>
        <v/>
      </c>
      <c r="C155" s="61" t="str">
        <f>IF($A155="","",VLOOKUP($A155,'Annex 2 Designated EHV charges'!$A:$O,3,0))</f>
        <v/>
      </c>
      <c r="D155" s="61" t="str">
        <f>IF($A155="","",VLOOKUP($A155,'Annex 2 Designated EHV charges'!$A:$O,7,0))</f>
        <v/>
      </c>
      <c r="E155" s="62" t="str">
        <f>IFERROR(IF(VLOOKUP($A155,'Annex 2 Designated EHV charges'!$A:$P,9,FALSE)=0,"",VLOOKUP($A155,'Annex 2 Designated EHV charges'!$A:$P,9,FALSE)),"")</f>
        <v/>
      </c>
      <c r="F155" s="208" t="str">
        <f>IFERROR(IF(VLOOKUP($A155,'Annex 2 Designated EHV charges'!$A:$P,10,FALSE)=0,"",VLOOKUP($A155,'Annex 2 Designated EHV charges'!$A:$P,10,FALSE)),"")</f>
        <v/>
      </c>
      <c r="G155" s="63" t="str">
        <f>IFERROR(IF(VLOOKUP($A155,'Annex 2 Designated EHV charges'!$A:$P,11,FALSE)=0,"",VLOOKUP($A155,'Annex 2 Designated EHV charges'!$A:$P,11,FALSE)),"")</f>
        <v/>
      </c>
      <c r="H155" s="53" t="str">
        <f>IFERROR(IF(VLOOKUP($A155,'Annex 2 Designated EHV charges'!$A:$P,12,FALSE)=0,"",VLOOKUP($A155,'Annex 2 Designated EHV charges'!$A:$P,12,FALSE)),"")</f>
        <v/>
      </c>
    </row>
    <row r="156" spans="1:8" x14ac:dyDescent="0.2">
      <c r="A156" s="53" t="str">
        <f t="array" ref="A156">IFERROR(INDEX('Annex 2 Designated EHV charges'!$A$11:$A$58, MATCH(0, IF(ISBLANK('Annex 2 Designated EHV charges'!$A$11:$A$58),1, COUNTIF(A$4:$A155, 'Annex 2 Designated EHV charges'!$A$11:$A$58)), 0)),"")</f>
        <v/>
      </c>
      <c r="B156" s="53" t="str">
        <f>IF($A156="","",VLOOKUP($A156,'Annex 2 Designated EHV charges'!$A:$O,2,0))</f>
        <v/>
      </c>
      <c r="C156" s="61" t="str">
        <f>IF($A156="","",VLOOKUP($A156,'Annex 2 Designated EHV charges'!$A:$O,3,0))</f>
        <v/>
      </c>
      <c r="D156" s="61" t="str">
        <f>IF($A156="","",VLOOKUP($A156,'Annex 2 Designated EHV charges'!$A:$O,7,0))</f>
        <v/>
      </c>
      <c r="E156" s="62" t="str">
        <f>IFERROR(IF(VLOOKUP($A156,'Annex 2 Designated EHV charges'!$A:$P,9,FALSE)=0,"",VLOOKUP($A156,'Annex 2 Designated EHV charges'!$A:$P,9,FALSE)),"")</f>
        <v/>
      </c>
      <c r="F156" s="208" t="str">
        <f>IFERROR(IF(VLOOKUP($A156,'Annex 2 Designated EHV charges'!$A:$P,10,FALSE)=0,"",VLOOKUP($A156,'Annex 2 Designated EHV charges'!$A:$P,10,FALSE)),"")</f>
        <v/>
      </c>
      <c r="G156" s="63" t="str">
        <f>IFERROR(IF(VLOOKUP($A156,'Annex 2 Designated EHV charges'!$A:$P,11,FALSE)=0,"",VLOOKUP($A156,'Annex 2 Designated EHV charges'!$A:$P,11,FALSE)),"")</f>
        <v/>
      </c>
      <c r="H156" s="53" t="str">
        <f>IFERROR(IF(VLOOKUP($A156,'Annex 2 Designated EHV charges'!$A:$P,12,FALSE)=0,"",VLOOKUP($A156,'Annex 2 Designated EHV charges'!$A:$P,12,FALSE)),"")</f>
        <v/>
      </c>
    </row>
    <row r="157" spans="1:8" x14ac:dyDescent="0.2">
      <c r="A157" s="53" t="str">
        <f t="array" ref="A157">IFERROR(INDEX('Annex 2 Designated EHV charges'!$A$11:$A$58, MATCH(0, IF(ISBLANK('Annex 2 Designated EHV charges'!$A$11:$A$58),1, COUNTIF(A$4:$A156, 'Annex 2 Designated EHV charges'!$A$11:$A$58)), 0)),"")</f>
        <v/>
      </c>
      <c r="B157" s="53" t="str">
        <f>IF($A157="","",VLOOKUP($A157,'Annex 2 Designated EHV charges'!$A:$O,2,0))</f>
        <v/>
      </c>
      <c r="C157" s="61" t="str">
        <f>IF($A157="","",VLOOKUP($A157,'Annex 2 Designated EHV charges'!$A:$O,3,0))</f>
        <v/>
      </c>
      <c r="D157" s="61" t="str">
        <f>IF($A157="","",VLOOKUP($A157,'Annex 2 Designated EHV charges'!$A:$O,7,0))</f>
        <v/>
      </c>
      <c r="E157" s="62" t="str">
        <f>IFERROR(IF(VLOOKUP($A157,'Annex 2 Designated EHV charges'!$A:$P,9,FALSE)=0,"",VLOOKUP($A157,'Annex 2 Designated EHV charges'!$A:$P,9,FALSE)),"")</f>
        <v/>
      </c>
      <c r="F157" s="208" t="str">
        <f>IFERROR(IF(VLOOKUP($A157,'Annex 2 Designated EHV charges'!$A:$P,10,FALSE)=0,"",VLOOKUP($A157,'Annex 2 Designated EHV charges'!$A:$P,10,FALSE)),"")</f>
        <v/>
      </c>
      <c r="G157" s="63" t="str">
        <f>IFERROR(IF(VLOOKUP($A157,'Annex 2 Designated EHV charges'!$A:$P,11,FALSE)=0,"",VLOOKUP($A157,'Annex 2 Designated EHV charges'!$A:$P,11,FALSE)),"")</f>
        <v/>
      </c>
      <c r="H157" s="53" t="str">
        <f>IFERROR(IF(VLOOKUP($A157,'Annex 2 Designated EHV charges'!$A:$P,12,FALSE)=0,"",VLOOKUP($A157,'Annex 2 Designated EHV charges'!$A:$P,12,FALSE)),"")</f>
        <v/>
      </c>
    </row>
    <row r="158" spans="1:8" x14ac:dyDescent="0.2">
      <c r="A158" s="53" t="str">
        <f t="array" ref="A158">IFERROR(INDEX('Annex 2 Designated EHV charges'!$A$11:$A$58, MATCH(0, IF(ISBLANK('Annex 2 Designated EHV charges'!$A$11:$A$58),1, COUNTIF(A$4:$A157, 'Annex 2 Designated EHV charges'!$A$11:$A$58)), 0)),"")</f>
        <v/>
      </c>
      <c r="B158" s="53" t="str">
        <f>IF($A158="","",VLOOKUP($A158,'Annex 2 Designated EHV charges'!$A:$O,2,0))</f>
        <v/>
      </c>
      <c r="C158" s="61" t="str">
        <f>IF($A158="","",VLOOKUP($A158,'Annex 2 Designated EHV charges'!$A:$O,3,0))</f>
        <v/>
      </c>
      <c r="D158" s="61" t="str">
        <f>IF($A158="","",VLOOKUP($A158,'Annex 2 Designated EHV charges'!$A:$O,7,0))</f>
        <v/>
      </c>
      <c r="E158" s="62" t="str">
        <f>IFERROR(IF(VLOOKUP($A158,'Annex 2 Designated EHV charges'!$A:$P,9,FALSE)=0,"",VLOOKUP($A158,'Annex 2 Designated EHV charges'!$A:$P,9,FALSE)),"")</f>
        <v/>
      </c>
      <c r="F158" s="208" t="str">
        <f>IFERROR(IF(VLOOKUP($A158,'Annex 2 Designated EHV charges'!$A:$P,10,FALSE)=0,"",VLOOKUP($A158,'Annex 2 Designated EHV charges'!$A:$P,10,FALSE)),"")</f>
        <v/>
      </c>
      <c r="G158" s="63" t="str">
        <f>IFERROR(IF(VLOOKUP($A158,'Annex 2 Designated EHV charges'!$A:$P,11,FALSE)=0,"",VLOOKUP($A158,'Annex 2 Designated EHV charges'!$A:$P,11,FALSE)),"")</f>
        <v/>
      </c>
      <c r="H158" s="53" t="str">
        <f>IFERROR(IF(VLOOKUP($A158,'Annex 2 Designated EHV charges'!$A:$P,12,FALSE)=0,"",VLOOKUP($A158,'Annex 2 Designated EHV charges'!$A:$P,12,FALSE)),"")</f>
        <v/>
      </c>
    </row>
    <row r="159" spans="1:8" x14ac:dyDescent="0.2">
      <c r="A159" s="53" t="str">
        <f t="array" ref="A159">IFERROR(INDEX('Annex 2 Designated EHV charges'!$A$11:$A$58, MATCH(0, IF(ISBLANK('Annex 2 Designated EHV charges'!$A$11:$A$58),1, COUNTIF(A$4:$A158, 'Annex 2 Designated EHV charges'!$A$11:$A$58)), 0)),"")</f>
        <v/>
      </c>
      <c r="B159" s="53" t="str">
        <f>IF($A159="","",VLOOKUP($A159,'Annex 2 Designated EHV charges'!$A:$O,2,0))</f>
        <v/>
      </c>
      <c r="C159" s="61" t="str">
        <f>IF($A159="","",VLOOKUP($A159,'Annex 2 Designated EHV charges'!$A:$O,3,0))</f>
        <v/>
      </c>
      <c r="D159" s="61" t="str">
        <f>IF($A159="","",VLOOKUP($A159,'Annex 2 Designated EHV charges'!$A:$O,7,0))</f>
        <v/>
      </c>
      <c r="E159" s="62" t="str">
        <f>IFERROR(IF(VLOOKUP($A159,'Annex 2 Designated EHV charges'!$A:$P,9,FALSE)=0,"",VLOOKUP($A159,'Annex 2 Designated EHV charges'!$A:$P,9,FALSE)),"")</f>
        <v/>
      </c>
      <c r="F159" s="208" t="str">
        <f>IFERROR(IF(VLOOKUP($A159,'Annex 2 Designated EHV charges'!$A:$P,10,FALSE)=0,"",VLOOKUP($A159,'Annex 2 Designated EHV charges'!$A:$P,10,FALSE)),"")</f>
        <v/>
      </c>
      <c r="G159" s="63" t="str">
        <f>IFERROR(IF(VLOOKUP($A159,'Annex 2 Designated EHV charges'!$A:$P,11,FALSE)=0,"",VLOOKUP($A159,'Annex 2 Designated EHV charges'!$A:$P,11,FALSE)),"")</f>
        <v/>
      </c>
      <c r="H159" s="53" t="str">
        <f>IFERROR(IF(VLOOKUP($A159,'Annex 2 Designated EHV charges'!$A:$P,12,FALSE)=0,"",VLOOKUP($A159,'Annex 2 Designated EHV charges'!$A:$P,12,FALSE)),"")</f>
        <v/>
      </c>
    </row>
    <row r="160" spans="1:8" x14ac:dyDescent="0.2">
      <c r="A160" s="53" t="str">
        <f t="array" ref="A160">IFERROR(INDEX('Annex 2 Designated EHV charges'!$A$11:$A$58, MATCH(0, IF(ISBLANK('Annex 2 Designated EHV charges'!$A$11:$A$58),1, COUNTIF(A$4:$A159, 'Annex 2 Designated EHV charges'!$A$11:$A$58)), 0)),"")</f>
        <v/>
      </c>
      <c r="B160" s="53" t="str">
        <f>IF($A160="","",VLOOKUP($A160,'Annex 2 Designated EHV charges'!$A:$O,2,0))</f>
        <v/>
      </c>
      <c r="C160" s="61" t="str">
        <f>IF($A160="","",VLOOKUP($A160,'Annex 2 Designated EHV charges'!$A:$O,3,0))</f>
        <v/>
      </c>
      <c r="D160" s="61" t="str">
        <f>IF($A160="","",VLOOKUP($A160,'Annex 2 Designated EHV charges'!$A:$O,7,0))</f>
        <v/>
      </c>
      <c r="E160" s="62" t="str">
        <f>IFERROR(IF(VLOOKUP($A160,'Annex 2 Designated EHV charges'!$A:$P,9,FALSE)=0,"",VLOOKUP($A160,'Annex 2 Designated EHV charges'!$A:$P,9,FALSE)),"")</f>
        <v/>
      </c>
      <c r="F160" s="208" t="str">
        <f>IFERROR(IF(VLOOKUP($A160,'Annex 2 Designated EHV charges'!$A:$P,10,FALSE)=0,"",VLOOKUP($A160,'Annex 2 Designated EHV charges'!$A:$P,10,FALSE)),"")</f>
        <v/>
      </c>
      <c r="G160" s="63" t="str">
        <f>IFERROR(IF(VLOOKUP($A160,'Annex 2 Designated EHV charges'!$A:$P,11,FALSE)=0,"",VLOOKUP($A160,'Annex 2 Designated EHV charges'!$A:$P,11,FALSE)),"")</f>
        <v/>
      </c>
      <c r="H160" s="53" t="str">
        <f>IFERROR(IF(VLOOKUP($A160,'Annex 2 Designated EHV charges'!$A:$P,12,FALSE)=0,"",VLOOKUP($A160,'Annex 2 Designated EHV charges'!$A:$P,12,FALSE)),"")</f>
        <v/>
      </c>
    </row>
    <row r="161" spans="1:8" x14ac:dyDescent="0.2">
      <c r="A161" s="53" t="str">
        <f t="array" ref="A161">IFERROR(INDEX('Annex 2 Designated EHV charges'!$A$11:$A$58, MATCH(0, IF(ISBLANK('Annex 2 Designated EHV charges'!$A$11:$A$58),1, COUNTIF(A$4:$A160, 'Annex 2 Designated EHV charges'!$A$11:$A$58)), 0)),"")</f>
        <v/>
      </c>
      <c r="B161" s="53" t="str">
        <f>IF($A161="","",VLOOKUP($A161,'Annex 2 Designated EHV charges'!$A:$O,2,0))</f>
        <v/>
      </c>
      <c r="C161" s="61" t="str">
        <f>IF($A161="","",VLOOKUP($A161,'Annex 2 Designated EHV charges'!$A:$O,3,0))</f>
        <v/>
      </c>
      <c r="D161" s="61" t="str">
        <f>IF($A161="","",VLOOKUP($A161,'Annex 2 Designated EHV charges'!$A:$O,7,0))</f>
        <v/>
      </c>
      <c r="E161" s="62" t="str">
        <f>IFERROR(IF(VLOOKUP($A161,'Annex 2 Designated EHV charges'!$A:$P,9,FALSE)=0,"",VLOOKUP($A161,'Annex 2 Designated EHV charges'!$A:$P,9,FALSE)),"")</f>
        <v/>
      </c>
      <c r="F161" s="208" t="str">
        <f>IFERROR(IF(VLOOKUP($A161,'Annex 2 Designated EHV charges'!$A:$P,10,FALSE)=0,"",VLOOKUP($A161,'Annex 2 Designated EHV charges'!$A:$P,10,FALSE)),"")</f>
        <v/>
      </c>
      <c r="G161" s="63" t="str">
        <f>IFERROR(IF(VLOOKUP($A161,'Annex 2 Designated EHV charges'!$A:$P,11,FALSE)=0,"",VLOOKUP($A161,'Annex 2 Designated EHV charges'!$A:$P,11,FALSE)),"")</f>
        <v/>
      </c>
      <c r="H161" s="53" t="str">
        <f>IFERROR(IF(VLOOKUP($A161,'Annex 2 Designated EHV charges'!$A:$P,12,FALSE)=0,"",VLOOKUP($A161,'Annex 2 Designated EHV charges'!$A:$P,12,FALSE)),"")</f>
        <v/>
      </c>
    </row>
    <row r="162" spans="1:8" x14ac:dyDescent="0.2">
      <c r="A162" s="53" t="str">
        <f t="array" ref="A162">IFERROR(INDEX('Annex 2 Designated EHV charges'!$A$11:$A$58, MATCH(0, IF(ISBLANK('Annex 2 Designated EHV charges'!$A$11:$A$58),1, COUNTIF(A$4:$A161, 'Annex 2 Designated EHV charges'!$A$11:$A$58)), 0)),"")</f>
        <v/>
      </c>
      <c r="B162" s="53" t="str">
        <f>IF($A162="","",VLOOKUP($A162,'Annex 2 Designated EHV charges'!$A:$O,2,0))</f>
        <v/>
      </c>
      <c r="C162" s="61" t="str">
        <f>IF($A162="","",VLOOKUP($A162,'Annex 2 Designated EHV charges'!$A:$O,3,0))</f>
        <v/>
      </c>
      <c r="D162" s="61" t="str">
        <f>IF($A162="","",VLOOKUP($A162,'Annex 2 Designated EHV charges'!$A:$O,7,0))</f>
        <v/>
      </c>
      <c r="E162" s="62" t="str">
        <f>IFERROR(IF(VLOOKUP($A162,'Annex 2 Designated EHV charges'!$A:$P,9,FALSE)=0,"",VLOOKUP($A162,'Annex 2 Designated EHV charges'!$A:$P,9,FALSE)),"")</f>
        <v/>
      </c>
      <c r="F162" s="208" t="str">
        <f>IFERROR(IF(VLOOKUP($A162,'Annex 2 Designated EHV charges'!$A:$P,10,FALSE)=0,"",VLOOKUP($A162,'Annex 2 Designated EHV charges'!$A:$P,10,FALSE)),"")</f>
        <v/>
      </c>
      <c r="G162" s="63" t="str">
        <f>IFERROR(IF(VLOOKUP($A162,'Annex 2 Designated EHV charges'!$A:$P,11,FALSE)=0,"",VLOOKUP($A162,'Annex 2 Designated EHV charges'!$A:$P,11,FALSE)),"")</f>
        <v/>
      </c>
      <c r="H162" s="53" t="str">
        <f>IFERROR(IF(VLOOKUP($A162,'Annex 2 Designated EHV charges'!$A:$P,12,FALSE)=0,"",VLOOKUP($A162,'Annex 2 Designated EHV charges'!$A:$P,12,FALSE)),"")</f>
        <v/>
      </c>
    </row>
    <row r="163" spans="1:8" x14ac:dyDescent="0.2">
      <c r="A163" s="53" t="str">
        <f t="array" ref="A163">IFERROR(INDEX('Annex 2 Designated EHV charges'!$A$11:$A$58, MATCH(0, IF(ISBLANK('Annex 2 Designated EHV charges'!$A$11:$A$58),1, COUNTIF(A$4:$A162, 'Annex 2 Designated EHV charges'!$A$11:$A$58)), 0)),"")</f>
        <v/>
      </c>
      <c r="B163" s="53" t="str">
        <f>IF($A163="","",VLOOKUP($A163,'Annex 2 Designated EHV charges'!$A:$O,2,0))</f>
        <v/>
      </c>
      <c r="C163" s="61" t="str">
        <f>IF($A163="","",VLOOKUP($A163,'Annex 2 Designated EHV charges'!$A:$O,3,0))</f>
        <v/>
      </c>
      <c r="D163" s="61" t="str">
        <f>IF($A163="","",VLOOKUP($A163,'Annex 2 Designated EHV charges'!$A:$O,7,0))</f>
        <v/>
      </c>
      <c r="E163" s="62" t="str">
        <f>IFERROR(IF(VLOOKUP($A163,'Annex 2 Designated EHV charges'!$A:$P,9,FALSE)=0,"",VLOOKUP($A163,'Annex 2 Designated EHV charges'!$A:$P,9,FALSE)),"")</f>
        <v/>
      </c>
      <c r="F163" s="208" t="str">
        <f>IFERROR(IF(VLOOKUP($A163,'Annex 2 Designated EHV charges'!$A:$P,10,FALSE)=0,"",VLOOKUP($A163,'Annex 2 Designated EHV charges'!$A:$P,10,FALSE)),"")</f>
        <v/>
      </c>
      <c r="G163" s="63" t="str">
        <f>IFERROR(IF(VLOOKUP($A163,'Annex 2 Designated EHV charges'!$A:$P,11,FALSE)=0,"",VLOOKUP($A163,'Annex 2 Designated EHV charges'!$A:$P,11,FALSE)),"")</f>
        <v/>
      </c>
      <c r="H163" s="53" t="str">
        <f>IFERROR(IF(VLOOKUP($A163,'Annex 2 Designated EHV charges'!$A:$P,12,FALSE)=0,"",VLOOKUP($A163,'Annex 2 Designated EHV charges'!$A:$P,12,FALSE)),"")</f>
        <v/>
      </c>
    </row>
    <row r="164" spans="1:8" x14ac:dyDescent="0.2">
      <c r="A164" s="53" t="str">
        <f t="array" ref="A164">IFERROR(INDEX('Annex 2 Designated EHV charges'!$A$11:$A$58, MATCH(0, IF(ISBLANK('Annex 2 Designated EHV charges'!$A$11:$A$58),1, COUNTIF(A$4:$A163, 'Annex 2 Designated EHV charges'!$A$11:$A$58)), 0)),"")</f>
        <v/>
      </c>
      <c r="B164" s="53" t="str">
        <f>IF($A164="","",VLOOKUP($A164,'Annex 2 Designated EHV charges'!$A:$O,2,0))</f>
        <v/>
      </c>
      <c r="C164" s="61" t="str">
        <f>IF($A164="","",VLOOKUP($A164,'Annex 2 Designated EHV charges'!$A:$O,3,0))</f>
        <v/>
      </c>
      <c r="D164" s="61" t="str">
        <f>IF($A164="","",VLOOKUP($A164,'Annex 2 Designated EHV charges'!$A:$O,7,0))</f>
        <v/>
      </c>
      <c r="E164" s="62" t="str">
        <f>IFERROR(IF(VLOOKUP($A164,'Annex 2 Designated EHV charges'!$A:$P,9,FALSE)=0,"",VLOOKUP($A164,'Annex 2 Designated EHV charges'!$A:$P,9,FALSE)),"")</f>
        <v/>
      </c>
      <c r="F164" s="208" t="str">
        <f>IFERROR(IF(VLOOKUP($A164,'Annex 2 Designated EHV charges'!$A:$P,10,FALSE)=0,"",VLOOKUP($A164,'Annex 2 Designated EHV charges'!$A:$P,10,FALSE)),"")</f>
        <v/>
      </c>
      <c r="G164" s="63" t="str">
        <f>IFERROR(IF(VLOOKUP($A164,'Annex 2 Designated EHV charges'!$A:$P,11,FALSE)=0,"",VLOOKUP($A164,'Annex 2 Designated EHV charges'!$A:$P,11,FALSE)),"")</f>
        <v/>
      </c>
      <c r="H164" s="53" t="str">
        <f>IFERROR(IF(VLOOKUP($A164,'Annex 2 Designated EHV charges'!$A:$P,12,FALSE)=0,"",VLOOKUP($A164,'Annex 2 Designated EHV charges'!$A:$P,12,FALSE)),"")</f>
        <v/>
      </c>
    </row>
    <row r="165" spans="1:8" x14ac:dyDescent="0.2">
      <c r="A165" s="53" t="str">
        <f t="array" ref="A165">IFERROR(INDEX('Annex 2 Designated EHV charges'!$A$11:$A$58, MATCH(0, IF(ISBLANK('Annex 2 Designated EHV charges'!$A$11:$A$58),1, COUNTIF(A$4:$A164, 'Annex 2 Designated EHV charges'!$A$11:$A$58)), 0)),"")</f>
        <v/>
      </c>
      <c r="B165" s="53" t="str">
        <f>IF($A165="","",VLOOKUP($A165,'Annex 2 Designated EHV charges'!$A:$O,2,0))</f>
        <v/>
      </c>
      <c r="C165" s="61" t="str">
        <f>IF($A165="","",VLOOKUP($A165,'Annex 2 Designated EHV charges'!$A:$O,3,0))</f>
        <v/>
      </c>
      <c r="D165" s="61" t="str">
        <f>IF($A165="","",VLOOKUP($A165,'Annex 2 Designated EHV charges'!$A:$O,7,0))</f>
        <v/>
      </c>
      <c r="E165" s="62" t="str">
        <f>IFERROR(IF(VLOOKUP($A165,'Annex 2 Designated EHV charges'!$A:$P,9,FALSE)=0,"",VLOOKUP($A165,'Annex 2 Designated EHV charges'!$A:$P,9,FALSE)),"")</f>
        <v/>
      </c>
      <c r="F165" s="208" t="str">
        <f>IFERROR(IF(VLOOKUP($A165,'Annex 2 Designated EHV charges'!$A:$P,10,FALSE)=0,"",VLOOKUP($A165,'Annex 2 Designated EHV charges'!$A:$P,10,FALSE)),"")</f>
        <v/>
      </c>
      <c r="G165" s="63" t="str">
        <f>IFERROR(IF(VLOOKUP($A165,'Annex 2 Designated EHV charges'!$A:$P,11,FALSE)=0,"",VLOOKUP($A165,'Annex 2 Designated EHV charges'!$A:$P,11,FALSE)),"")</f>
        <v/>
      </c>
      <c r="H165" s="53" t="str">
        <f>IFERROR(IF(VLOOKUP($A165,'Annex 2 Designated EHV charges'!$A:$P,12,FALSE)=0,"",VLOOKUP($A165,'Annex 2 Designated EHV charges'!$A:$P,12,FALSE)),"")</f>
        <v/>
      </c>
    </row>
    <row r="166" spans="1:8" x14ac:dyDescent="0.2">
      <c r="A166" s="53" t="str">
        <f t="array" ref="A166">IFERROR(INDEX('Annex 2 Designated EHV charges'!$A$11:$A$58, MATCH(0, IF(ISBLANK('Annex 2 Designated EHV charges'!$A$11:$A$58),1, COUNTIF(A$4:$A165, 'Annex 2 Designated EHV charges'!$A$11:$A$58)), 0)),"")</f>
        <v/>
      </c>
      <c r="B166" s="53" t="str">
        <f>IF($A166="","",VLOOKUP($A166,'Annex 2 Designated EHV charges'!$A:$O,2,0))</f>
        <v/>
      </c>
      <c r="C166" s="61" t="str">
        <f>IF($A166="","",VLOOKUP($A166,'Annex 2 Designated EHV charges'!$A:$O,3,0))</f>
        <v/>
      </c>
      <c r="D166" s="61" t="str">
        <f>IF($A166="","",VLOOKUP($A166,'Annex 2 Designated EHV charges'!$A:$O,7,0))</f>
        <v/>
      </c>
      <c r="E166" s="62" t="str">
        <f>IFERROR(IF(VLOOKUP($A166,'Annex 2 Designated EHV charges'!$A:$P,9,FALSE)=0,"",VLOOKUP($A166,'Annex 2 Designated EHV charges'!$A:$P,9,FALSE)),"")</f>
        <v/>
      </c>
      <c r="F166" s="208" t="str">
        <f>IFERROR(IF(VLOOKUP($A166,'Annex 2 Designated EHV charges'!$A:$P,10,FALSE)=0,"",VLOOKUP($A166,'Annex 2 Designated EHV charges'!$A:$P,10,FALSE)),"")</f>
        <v/>
      </c>
      <c r="G166" s="63" t="str">
        <f>IFERROR(IF(VLOOKUP($A166,'Annex 2 Designated EHV charges'!$A:$P,11,FALSE)=0,"",VLOOKUP($A166,'Annex 2 Designated EHV charges'!$A:$P,11,FALSE)),"")</f>
        <v/>
      </c>
      <c r="H166" s="53" t="str">
        <f>IFERROR(IF(VLOOKUP($A166,'Annex 2 Designated EHV charges'!$A:$P,12,FALSE)=0,"",VLOOKUP($A166,'Annex 2 Designated EHV charges'!$A:$P,12,FALSE)),"")</f>
        <v/>
      </c>
    </row>
    <row r="167" spans="1:8" x14ac:dyDescent="0.2">
      <c r="A167" s="53" t="str">
        <f t="array" ref="A167">IFERROR(INDEX('Annex 2 Designated EHV charges'!$A$11:$A$58, MATCH(0, IF(ISBLANK('Annex 2 Designated EHV charges'!$A$11:$A$58),1, COUNTIF(A$4:$A166, 'Annex 2 Designated EHV charges'!$A$11:$A$58)), 0)),"")</f>
        <v/>
      </c>
      <c r="B167" s="53" t="str">
        <f>IF($A167="","",VLOOKUP($A167,'Annex 2 Designated EHV charges'!$A:$O,2,0))</f>
        <v/>
      </c>
      <c r="C167" s="61" t="str">
        <f>IF($A167="","",VLOOKUP($A167,'Annex 2 Designated EHV charges'!$A:$O,3,0))</f>
        <v/>
      </c>
      <c r="D167" s="61" t="str">
        <f>IF($A167="","",VLOOKUP($A167,'Annex 2 Designated EHV charges'!$A:$O,7,0))</f>
        <v/>
      </c>
      <c r="E167" s="62" t="str">
        <f>IFERROR(IF(VLOOKUP($A167,'Annex 2 Designated EHV charges'!$A:$P,9,FALSE)=0,"",VLOOKUP($A167,'Annex 2 Designated EHV charges'!$A:$P,9,FALSE)),"")</f>
        <v/>
      </c>
      <c r="F167" s="208" t="str">
        <f>IFERROR(IF(VLOOKUP($A167,'Annex 2 Designated EHV charges'!$A:$P,10,FALSE)=0,"",VLOOKUP($A167,'Annex 2 Designated EHV charges'!$A:$P,10,FALSE)),"")</f>
        <v/>
      </c>
      <c r="G167" s="63" t="str">
        <f>IFERROR(IF(VLOOKUP($A167,'Annex 2 Designated EHV charges'!$A:$P,11,FALSE)=0,"",VLOOKUP($A167,'Annex 2 Designated EHV charges'!$A:$P,11,FALSE)),"")</f>
        <v/>
      </c>
      <c r="H167" s="53" t="str">
        <f>IFERROR(IF(VLOOKUP($A167,'Annex 2 Designated EHV charges'!$A:$P,12,FALSE)=0,"",VLOOKUP($A167,'Annex 2 Designated EHV charges'!$A:$P,12,FALSE)),"")</f>
        <v/>
      </c>
    </row>
    <row r="168" spans="1:8" x14ac:dyDescent="0.2">
      <c r="A168" s="53" t="str">
        <f t="array" ref="A168">IFERROR(INDEX('Annex 2 Designated EHV charges'!$A$11:$A$58, MATCH(0, IF(ISBLANK('Annex 2 Designated EHV charges'!$A$11:$A$58),1, COUNTIF(A$4:$A167, 'Annex 2 Designated EHV charges'!$A$11:$A$58)), 0)),"")</f>
        <v/>
      </c>
      <c r="B168" s="53" t="str">
        <f>IF($A168="","",VLOOKUP($A168,'Annex 2 Designated EHV charges'!$A:$O,2,0))</f>
        <v/>
      </c>
      <c r="C168" s="61" t="str">
        <f>IF($A168="","",VLOOKUP($A168,'Annex 2 Designated EHV charges'!$A:$O,3,0))</f>
        <v/>
      </c>
      <c r="D168" s="61" t="str">
        <f>IF($A168="","",VLOOKUP($A168,'Annex 2 Designated EHV charges'!$A:$O,7,0))</f>
        <v/>
      </c>
      <c r="E168" s="62" t="str">
        <f>IFERROR(IF(VLOOKUP($A168,'Annex 2 Designated EHV charges'!$A:$P,9,FALSE)=0,"",VLOOKUP($A168,'Annex 2 Designated EHV charges'!$A:$P,9,FALSE)),"")</f>
        <v/>
      </c>
      <c r="F168" s="208" t="str">
        <f>IFERROR(IF(VLOOKUP($A168,'Annex 2 Designated EHV charges'!$A:$P,10,FALSE)=0,"",VLOOKUP($A168,'Annex 2 Designated EHV charges'!$A:$P,10,FALSE)),"")</f>
        <v/>
      </c>
      <c r="G168" s="63" t="str">
        <f>IFERROR(IF(VLOOKUP($A168,'Annex 2 Designated EHV charges'!$A:$P,11,FALSE)=0,"",VLOOKUP($A168,'Annex 2 Designated EHV charges'!$A:$P,11,FALSE)),"")</f>
        <v/>
      </c>
      <c r="H168" s="53" t="str">
        <f>IFERROR(IF(VLOOKUP($A168,'Annex 2 Designated EHV charges'!$A:$P,12,FALSE)=0,"",VLOOKUP($A168,'Annex 2 Designated EHV charges'!$A:$P,12,FALSE)),"")</f>
        <v/>
      </c>
    </row>
    <row r="169" spans="1:8" x14ac:dyDescent="0.2">
      <c r="A169" s="53" t="str">
        <f t="array" ref="A169">IFERROR(INDEX('Annex 2 Designated EHV charges'!$A$11:$A$58, MATCH(0, IF(ISBLANK('Annex 2 Designated EHV charges'!$A$11:$A$58),1, COUNTIF(A$4:$A168, 'Annex 2 Designated EHV charges'!$A$11:$A$58)), 0)),"")</f>
        <v/>
      </c>
      <c r="B169" s="53" t="str">
        <f>IF($A169="","",VLOOKUP($A169,'Annex 2 Designated EHV charges'!$A:$O,2,0))</f>
        <v/>
      </c>
      <c r="C169" s="61" t="str">
        <f>IF($A169="","",VLOOKUP($A169,'Annex 2 Designated EHV charges'!$A:$O,3,0))</f>
        <v/>
      </c>
      <c r="D169" s="61" t="str">
        <f>IF($A169="","",VLOOKUP($A169,'Annex 2 Designated EHV charges'!$A:$O,7,0))</f>
        <v/>
      </c>
      <c r="E169" s="62" t="str">
        <f>IFERROR(IF(VLOOKUP($A169,'Annex 2 Designated EHV charges'!$A:$P,9,FALSE)=0,"",VLOOKUP($A169,'Annex 2 Designated EHV charges'!$A:$P,9,FALSE)),"")</f>
        <v/>
      </c>
      <c r="F169" s="208" t="str">
        <f>IFERROR(IF(VLOOKUP($A169,'Annex 2 Designated EHV charges'!$A:$P,10,FALSE)=0,"",VLOOKUP($A169,'Annex 2 Designated EHV charges'!$A:$P,10,FALSE)),"")</f>
        <v/>
      </c>
      <c r="G169" s="63" t="str">
        <f>IFERROR(IF(VLOOKUP($A169,'Annex 2 Designated EHV charges'!$A:$P,11,FALSE)=0,"",VLOOKUP($A169,'Annex 2 Designated EHV charges'!$A:$P,11,FALSE)),"")</f>
        <v/>
      </c>
      <c r="H169" s="53" t="str">
        <f>IFERROR(IF(VLOOKUP($A169,'Annex 2 Designated EHV charges'!$A:$P,12,FALSE)=0,"",VLOOKUP($A169,'Annex 2 Designated EHV charges'!$A:$P,12,FALSE)),"")</f>
        <v/>
      </c>
    </row>
    <row r="170" spans="1:8" x14ac:dyDescent="0.2">
      <c r="A170" s="53" t="str">
        <f t="array" ref="A170">IFERROR(INDEX('Annex 2 Designated EHV charges'!$A$11:$A$58, MATCH(0, IF(ISBLANK('Annex 2 Designated EHV charges'!$A$11:$A$58),1, COUNTIF(A$4:$A169, 'Annex 2 Designated EHV charges'!$A$11:$A$58)), 0)),"")</f>
        <v/>
      </c>
      <c r="B170" s="53" t="str">
        <f>IF($A170="","",VLOOKUP($A170,'Annex 2 Designated EHV charges'!$A:$O,2,0))</f>
        <v/>
      </c>
      <c r="C170" s="61" t="str">
        <f>IF($A170="","",VLOOKUP($A170,'Annex 2 Designated EHV charges'!$A:$O,3,0))</f>
        <v/>
      </c>
      <c r="D170" s="61" t="str">
        <f>IF($A170="","",VLOOKUP($A170,'Annex 2 Designated EHV charges'!$A:$O,7,0))</f>
        <v/>
      </c>
      <c r="E170" s="62" t="str">
        <f>IFERROR(IF(VLOOKUP($A170,'Annex 2 Designated EHV charges'!$A:$P,9,FALSE)=0,"",VLOOKUP($A170,'Annex 2 Designated EHV charges'!$A:$P,9,FALSE)),"")</f>
        <v/>
      </c>
      <c r="F170" s="208" t="str">
        <f>IFERROR(IF(VLOOKUP($A170,'Annex 2 Designated EHV charges'!$A:$P,10,FALSE)=0,"",VLOOKUP($A170,'Annex 2 Designated EHV charges'!$A:$P,10,FALSE)),"")</f>
        <v/>
      </c>
      <c r="G170" s="63" t="str">
        <f>IFERROR(IF(VLOOKUP($A170,'Annex 2 Designated EHV charges'!$A:$P,11,FALSE)=0,"",VLOOKUP($A170,'Annex 2 Designated EHV charges'!$A:$P,11,FALSE)),"")</f>
        <v/>
      </c>
      <c r="H170" s="53" t="str">
        <f>IFERROR(IF(VLOOKUP($A170,'Annex 2 Designated EHV charges'!$A:$P,12,FALSE)=0,"",VLOOKUP($A170,'Annex 2 Designated EHV charges'!$A:$P,12,FALSE)),"")</f>
        <v/>
      </c>
    </row>
    <row r="171" spans="1:8" x14ac:dyDescent="0.2">
      <c r="A171" s="53" t="str">
        <f t="array" ref="A171">IFERROR(INDEX('Annex 2 Designated EHV charges'!$A$11:$A$58, MATCH(0, IF(ISBLANK('Annex 2 Designated EHV charges'!$A$11:$A$58),1, COUNTIF(A$4:$A170, 'Annex 2 Designated EHV charges'!$A$11:$A$58)), 0)),"")</f>
        <v/>
      </c>
      <c r="B171" s="53" t="str">
        <f>IF($A171="","",VLOOKUP($A171,'Annex 2 Designated EHV charges'!$A:$O,2,0))</f>
        <v/>
      </c>
      <c r="C171" s="61" t="str">
        <f>IF($A171="","",VLOOKUP($A171,'Annex 2 Designated EHV charges'!$A:$O,3,0))</f>
        <v/>
      </c>
      <c r="D171" s="61" t="str">
        <f>IF($A171="","",VLOOKUP($A171,'Annex 2 Designated EHV charges'!$A:$O,7,0))</f>
        <v/>
      </c>
      <c r="E171" s="62" t="str">
        <f>IFERROR(IF(VLOOKUP($A171,'Annex 2 Designated EHV charges'!$A:$P,9,FALSE)=0,"",VLOOKUP($A171,'Annex 2 Designated EHV charges'!$A:$P,9,FALSE)),"")</f>
        <v/>
      </c>
      <c r="F171" s="208" t="str">
        <f>IFERROR(IF(VLOOKUP($A171,'Annex 2 Designated EHV charges'!$A:$P,10,FALSE)=0,"",VLOOKUP($A171,'Annex 2 Designated EHV charges'!$A:$P,10,FALSE)),"")</f>
        <v/>
      </c>
      <c r="G171" s="63" t="str">
        <f>IFERROR(IF(VLOOKUP($A171,'Annex 2 Designated EHV charges'!$A:$P,11,FALSE)=0,"",VLOOKUP($A171,'Annex 2 Designated EHV charges'!$A:$P,11,FALSE)),"")</f>
        <v/>
      </c>
      <c r="H171" s="53" t="str">
        <f>IFERROR(IF(VLOOKUP($A171,'Annex 2 Designated EHV charges'!$A:$P,12,FALSE)=0,"",VLOOKUP($A171,'Annex 2 Designated EHV charges'!$A:$P,12,FALSE)),"")</f>
        <v/>
      </c>
    </row>
    <row r="172" spans="1:8" x14ac:dyDescent="0.2">
      <c r="A172" s="53" t="str">
        <f t="array" ref="A172">IFERROR(INDEX('Annex 2 Designated EHV charges'!$A$11:$A$58, MATCH(0, IF(ISBLANK('Annex 2 Designated EHV charges'!$A$11:$A$58),1, COUNTIF(A$4:$A171, 'Annex 2 Designated EHV charges'!$A$11:$A$58)), 0)),"")</f>
        <v/>
      </c>
      <c r="B172" s="53" t="str">
        <f>IF($A172="","",VLOOKUP($A172,'Annex 2 Designated EHV charges'!$A:$O,2,0))</f>
        <v/>
      </c>
      <c r="C172" s="61" t="str">
        <f>IF($A172="","",VLOOKUP($A172,'Annex 2 Designated EHV charges'!$A:$O,3,0))</f>
        <v/>
      </c>
      <c r="D172" s="61" t="str">
        <f>IF($A172="","",VLOOKUP($A172,'Annex 2 Designated EHV charges'!$A:$O,7,0))</f>
        <v/>
      </c>
      <c r="E172" s="62" t="str">
        <f>IFERROR(IF(VLOOKUP($A172,'Annex 2 Designated EHV charges'!$A:$P,9,FALSE)=0,"",VLOOKUP($A172,'Annex 2 Designated EHV charges'!$A:$P,9,FALSE)),"")</f>
        <v/>
      </c>
      <c r="F172" s="208" t="str">
        <f>IFERROR(IF(VLOOKUP($A172,'Annex 2 Designated EHV charges'!$A:$P,10,FALSE)=0,"",VLOOKUP($A172,'Annex 2 Designated EHV charges'!$A:$P,10,FALSE)),"")</f>
        <v/>
      </c>
      <c r="G172" s="63" t="str">
        <f>IFERROR(IF(VLOOKUP($A172,'Annex 2 Designated EHV charges'!$A:$P,11,FALSE)=0,"",VLOOKUP($A172,'Annex 2 Designated EHV charges'!$A:$P,11,FALSE)),"")</f>
        <v/>
      </c>
      <c r="H172" s="53" t="str">
        <f>IFERROR(IF(VLOOKUP($A172,'Annex 2 Designated EHV charges'!$A:$P,12,FALSE)=0,"",VLOOKUP($A172,'Annex 2 Designated EHV charges'!$A:$P,12,FALSE)),"")</f>
        <v/>
      </c>
    </row>
    <row r="173" spans="1:8" x14ac:dyDescent="0.2">
      <c r="A173" s="53" t="str">
        <f t="array" ref="A173">IFERROR(INDEX('Annex 2 Designated EHV charges'!$A$11:$A$58, MATCH(0, IF(ISBLANK('Annex 2 Designated EHV charges'!$A$11:$A$58),1, COUNTIF(A$4:$A172, 'Annex 2 Designated EHV charges'!$A$11:$A$58)), 0)),"")</f>
        <v/>
      </c>
      <c r="B173" s="53" t="str">
        <f>IF($A173="","",VLOOKUP($A173,'Annex 2 Designated EHV charges'!$A:$O,2,0))</f>
        <v/>
      </c>
      <c r="C173" s="61" t="str">
        <f>IF($A173="","",VLOOKUP($A173,'Annex 2 Designated EHV charges'!$A:$O,3,0))</f>
        <v/>
      </c>
      <c r="D173" s="61" t="str">
        <f>IF($A173="","",VLOOKUP($A173,'Annex 2 Designated EHV charges'!$A:$O,7,0))</f>
        <v/>
      </c>
      <c r="E173" s="62" t="str">
        <f>IFERROR(IF(VLOOKUP($A173,'Annex 2 Designated EHV charges'!$A:$P,9,FALSE)=0,"",VLOOKUP($A173,'Annex 2 Designated EHV charges'!$A:$P,9,FALSE)),"")</f>
        <v/>
      </c>
      <c r="F173" s="208" t="str">
        <f>IFERROR(IF(VLOOKUP($A173,'Annex 2 Designated EHV charges'!$A:$P,10,FALSE)=0,"",VLOOKUP($A173,'Annex 2 Designated EHV charges'!$A:$P,10,FALSE)),"")</f>
        <v/>
      </c>
      <c r="G173" s="63" t="str">
        <f>IFERROR(IF(VLOOKUP($A173,'Annex 2 Designated EHV charges'!$A:$P,11,FALSE)=0,"",VLOOKUP($A173,'Annex 2 Designated EHV charges'!$A:$P,11,FALSE)),"")</f>
        <v/>
      </c>
      <c r="H173" s="53" t="str">
        <f>IFERROR(IF(VLOOKUP($A173,'Annex 2 Designated EHV charges'!$A:$P,12,FALSE)=0,"",VLOOKUP($A173,'Annex 2 Designated EHV charges'!$A:$P,12,FALSE)),"")</f>
        <v/>
      </c>
    </row>
    <row r="174" spans="1:8" x14ac:dyDescent="0.2">
      <c r="A174" s="53" t="str">
        <f t="array" ref="A174">IFERROR(INDEX('Annex 2 Designated EHV charges'!$A$11:$A$58, MATCH(0, IF(ISBLANK('Annex 2 Designated EHV charges'!$A$11:$A$58),1, COUNTIF(A$4:$A173, 'Annex 2 Designated EHV charges'!$A$11:$A$58)), 0)),"")</f>
        <v/>
      </c>
      <c r="B174" s="53" t="str">
        <f>IF($A174="","",VLOOKUP($A174,'Annex 2 Designated EHV charges'!$A:$O,2,0))</f>
        <v/>
      </c>
      <c r="C174" s="61" t="str">
        <f>IF($A174="","",VLOOKUP($A174,'Annex 2 Designated EHV charges'!$A:$O,3,0))</f>
        <v/>
      </c>
      <c r="D174" s="61" t="str">
        <f>IF($A174="","",VLOOKUP($A174,'Annex 2 Designated EHV charges'!$A:$O,7,0))</f>
        <v/>
      </c>
      <c r="E174" s="62" t="str">
        <f>IFERROR(IF(VLOOKUP($A174,'Annex 2 Designated EHV charges'!$A:$P,9,FALSE)=0,"",VLOOKUP($A174,'Annex 2 Designated EHV charges'!$A:$P,9,FALSE)),"")</f>
        <v/>
      </c>
      <c r="F174" s="208" t="str">
        <f>IFERROR(IF(VLOOKUP($A174,'Annex 2 Designated EHV charges'!$A:$P,10,FALSE)=0,"",VLOOKUP($A174,'Annex 2 Designated EHV charges'!$A:$P,10,FALSE)),"")</f>
        <v/>
      </c>
      <c r="G174" s="63" t="str">
        <f>IFERROR(IF(VLOOKUP($A174,'Annex 2 Designated EHV charges'!$A:$P,11,FALSE)=0,"",VLOOKUP($A174,'Annex 2 Designated EHV charges'!$A:$P,11,FALSE)),"")</f>
        <v/>
      </c>
      <c r="H174" s="53" t="str">
        <f>IFERROR(IF(VLOOKUP($A174,'Annex 2 Designated EHV charges'!$A:$P,12,FALSE)=0,"",VLOOKUP($A174,'Annex 2 Designated EHV charges'!$A:$P,12,FALSE)),"")</f>
        <v/>
      </c>
    </row>
    <row r="175" spans="1:8" x14ac:dyDescent="0.2">
      <c r="A175" s="53" t="str">
        <f t="array" ref="A175">IFERROR(INDEX('Annex 2 Designated EHV charges'!$A$11:$A$58, MATCH(0, IF(ISBLANK('Annex 2 Designated EHV charges'!$A$11:$A$58),1, COUNTIF(A$4:$A174, 'Annex 2 Designated EHV charges'!$A$11:$A$58)), 0)),"")</f>
        <v/>
      </c>
      <c r="B175" s="53" t="str">
        <f>IF($A175="","",VLOOKUP($A175,'Annex 2 Designated EHV charges'!$A:$O,2,0))</f>
        <v/>
      </c>
      <c r="C175" s="61" t="str">
        <f>IF($A175="","",VLOOKUP($A175,'Annex 2 Designated EHV charges'!$A:$O,3,0))</f>
        <v/>
      </c>
      <c r="D175" s="61" t="str">
        <f>IF($A175="","",VLOOKUP($A175,'Annex 2 Designated EHV charges'!$A:$O,7,0))</f>
        <v/>
      </c>
      <c r="E175" s="62" t="str">
        <f>IFERROR(IF(VLOOKUP($A175,'Annex 2 Designated EHV charges'!$A:$P,9,FALSE)=0,"",VLOOKUP($A175,'Annex 2 Designated EHV charges'!$A:$P,9,FALSE)),"")</f>
        <v/>
      </c>
      <c r="F175" s="208" t="str">
        <f>IFERROR(IF(VLOOKUP($A175,'Annex 2 Designated EHV charges'!$A:$P,10,FALSE)=0,"",VLOOKUP($A175,'Annex 2 Designated EHV charges'!$A:$P,10,FALSE)),"")</f>
        <v/>
      </c>
      <c r="G175" s="63" t="str">
        <f>IFERROR(IF(VLOOKUP($A175,'Annex 2 Designated EHV charges'!$A:$P,11,FALSE)=0,"",VLOOKUP($A175,'Annex 2 Designated EHV charges'!$A:$P,11,FALSE)),"")</f>
        <v/>
      </c>
      <c r="H175" s="53" t="str">
        <f>IFERROR(IF(VLOOKUP($A175,'Annex 2 Designated EHV charges'!$A:$P,12,FALSE)=0,"",VLOOKUP($A175,'Annex 2 Designated EHV charges'!$A:$P,12,FALSE)),"")</f>
        <v/>
      </c>
    </row>
    <row r="176" spans="1:8" x14ac:dyDescent="0.2">
      <c r="A176" s="53" t="str">
        <f t="array" ref="A176">IFERROR(INDEX('Annex 2 Designated EHV charges'!$A$11:$A$58, MATCH(0, IF(ISBLANK('Annex 2 Designated EHV charges'!$A$11:$A$58),1, COUNTIF(A$4:$A175, 'Annex 2 Designated EHV charges'!$A$11:$A$58)), 0)),"")</f>
        <v/>
      </c>
      <c r="B176" s="53" t="str">
        <f>IF($A176="","",VLOOKUP($A176,'Annex 2 Designated EHV charges'!$A:$O,2,0))</f>
        <v/>
      </c>
      <c r="C176" s="61" t="str">
        <f>IF($A176="","",VLOOKUP($A176,'Annex 2 Designated EHV charges'!$A:$O,3,0))</f>
        <v/>
      </c>
      <c r="D176" s="61" t="str">
        <f>IF($A176="","",VLOOKUP($A176,'Annex 2 Designated EHV charges'!$A:$O,7,0))</f>
        <v/>
      </c>
      <c r="E176" s="62" t="str">
        <f>IFERROR(IF(VLOOKUP($A176,'Annex 2 Designated EHV charges'!$A:$P,9,FALSE)=0,"",VLOOKUP($A176,'Annex 2 Designated EHV charges'!$A:$P,9,FALSE)),"")</f>
        <v/>
      </c>
      <c r="F176" s="208" t="str">
        <f>IFERROR(IF(VLOOKUP($A176,'Annex 2 Designated EHV charges'!$A:$P,10,FALSE)=0,"",VLOOKUP($A176,'Annex 2 Designated EHV charges'!$A:$P,10,FALSE)),"")</f>
        <v/>
      </c>
      <c r="G176" s="63" t="str">
        <f>IFERROR(IF(VLOOKUP($A176,'Annex 2 Designated EHV charges'!$A:$P,11,FALSE)=0,"",VLOOKUP($A176,'Annex 2 Designated EHV charges'!$A:$P,11,FALSE)),"")</f>
        <v/>
      </c>
      <c r="H176" s="53" t="str">
        <f>IFERROR(IF(VLOOKUP($A176,'Annex 2 Designated EHV charges'!$A:$P,12,FALSE)=0,"",VLOOKUP($A176,'Annex 2 Designated EHV charges'!$A:$P,12,FALSE)),"")</f>
        <v/>
      </c>
    </row>
    <row r="177" spans="1:8" x14ac:dyDescent="0.2">
      <c r="A177" s="53" t="str">
        <f t="array" ref="A177">IFERROR(INDEX('Annex 2 Designated EHV charges'!$A$11:$A$58, MATCH(0, IF(ISBLANK('Annex 2 Designated EHV charges'!$A$11:$A$58),1, COUNTIF(A$4:$A176, 'Annex 2 Designated EHV charges'!$A$11:$A$58)), 0)),"")</f>
        <v/>
      </c>
      <c r="B177" s="53" t="str">
        <f>IF($A177="","",VLOOKUP($A177,'Annex 2 Designated EHV charges'!$A:$O,2,0))</f>
        <v/>
      </c>
      <c r="C177" s="61" t="str">
        <f>IF($A177="","",VLOOKUP($A177,'Annex 2 Designated EHV charges'!$A:$O,3,0))</f>
        <v/>
      </c>
      <c r="D177" s="61" t="str">
        <f>IF($A177="","",VLOOKUP($A177,'Annex 2 Designated EHV charges'!$A:$O,7,0))</f>
        <v/>
      </c>
      <c r="E177" s="62" t="str">
        <f>IFERROR(IF(VLOOKUP($A177,'Annex 2 Designated EHV charges'!$A:$P,9,FALSE)=0,"",VLOOKUP($A177,'Annex 2 Designated EHV charges'!$A:$P,9,FALSE)),"")</f>
        <v/>
      </c>
      <c r="F177" s="208" t="str">
        <f>IFERROR(IF(VLOOKUP($A177,'Annex 2 Designated EHV charges'!$A:$P,10,FALSE)=0,"",VLOOKUP($A177,'Annex 2 Designated EHV charges'!$A:$P,10,FALSE)),"")</f>
        <v/>
      </c>
      <c r="G177" s="63" t="str">
        <f>IFERROR(IF(VLOOKUP($A177,'Annex 2 Designated EHV charges'!$A:$P,11,FALSE)=0,"",VLOOKUP($A177,'Annex 2 Designated EHV charges'!$A:$P,11,FALSE)),"")</f>
        <v/>
      </c>
      <c r="H177" s="53" t="str">
        <f>IFERROR(IF(VLOOKUP($A177,'Annex 2 Designated EHV charges'!$A:$P,12,FALSE)=0,"",VLOOKUP($A177,'Annex 2 Designated EHV charges'!$A:$P,12,FALSE)),"")</f>
        <v/>
      </c>
    </row>
    <row r="178" spans="1:8" x14ac:dyDescent="0.2">
      <c r="A178" s="53" t="str">
        <f t="array" ref="A178">IFERROR(INDEX('Annex 2 Designated EHV charges'!$A$11:$A$58, MATCH(0, IF(ISBLANK('Annex 2 Designated EHV charges'!$A$11:$A$58),1, COUNTIF(A$4:$A177, 'Annex 2 Designated EHV charges'!$A$11:$A$58)), 0)),"")</f>
        <v/>
      </c>
      <c r="B178" s="53" t="str">
        <f>IF($A178="","",VLOOKUP($A178,'Annex 2 Designated EHV charges'!$A:$O,2,0))</f>
        <v/>
      </c>
      <c r="C178" s="61" t="str">
        <f>IF($A178="","",VLOOKUP($A178,'Annex 2 Designated EHV charges'!$A:$O,3,0))</f>
        <v/>
      </c>
      <c r="D178" s="61" t="str">
        <f>IF($A178="","",VLOOKUP($A178,'Annex 2 Designated EHV charges'!$A:$O,7,0))</f>
        <v/>
      </c>
      <c r="E178" s="62" t="str">
        <f>IFERROR(IF(VLOOKUP($A178,'Annex 2 Designated EHV charges'!$A:$P,9,FALSE)=0,"",VLOOKUP($A178,'Annex 2 Designated EHV charges'!$A:$P,9,FALSE)),"")</f>
        <v/>
      </c>
      <c r="F178" s="208" t="str">
        <f>IFERROR(IF(VLOOKUP($A178,'Annex 2 Designated EHV charges'!$A:$P,10,FALSE)=0,"",VLOOKUP($A178,'Annex 2 Designated EHV charges'!$A:$P,10,FALSE)),"")</f>
        <v/>
      </c>
      <c r="G178" s="63" t="str">
        <f>IFERROR(IF(VLOOKUP($A178,'Annex 2 Designated EHV charges'!$A:$P,11,FALSE)=0,"",VLOOKUP($A178,'Annex 2 Designated EHV charges'!$A:$P,11,FALSE)),"")</f>
        <v/>
      </c>
      <c r="H178" s="53" t="str">
        <f>IFERROR(IF(VLOOKUP($A178,'Annex 2 Designated EHV charges'!$A:$P,12,FALSE)=0,"",VLOOKUP($A178,'Annex 2 Designated EHV charges'!$A:$P,12,FALSE)),"")</f>
        <v/>
      </c>
    </row>
    <row r="179" spans="1:8" x14ac:dyDescent="0.2">
      <c r="A179" s="53" t="str">
        <f t="array" ref="A179">IFERROR(INDEX('Annex 2 Designated EHV charges'!$A$11:$A$58, MATCH(0, IF(ISBLANK('Annex 2 Designated EHV charges'!$A$11:$A$58),1, COUNTIF(A$4:$A178, 'Annex 2 Designated EHV charges'!$A$11:$A$58)), 0)),"")</f>
        <v/>
      </c>
      <c r="B179" s="53" t="str">
        <f>IF($A179="","",VLOOKUP($A179,'Annex 2 Designated EHV charges'!$A:$O,2,0))</f>
        <v/>
      </c>
      <c r="C179" s="61" t="str">
        <f>IF($A179="","",VLOOKUP($A179,'Annex 2 Designated EHV charges'!$A:$O,3,0))</f>
        <v/>
      </c>
      <c r="D179" s="61" t="str">
        <f>IF($A179="","",VLOOKUP($A179,'Annex 2 Designated EHV charges'!$A:$O,7,0))</f>
        <v/>
      </c>
      <c r="E179" s="62" t="str">
        <f>IFERROR(IF(VLOOKUP($A179,'Annex 2 Designated EHV charges'!$A:$P,9,FALSE)=0,"",VLOOKUP($A179,'Annex 2 Designated EHV charges'!$A:$P,9,FALSE)),"")</f>
        <v/>
      </c>
      <c r="F179" s="208" t="str">
        <f>IFERROR(IF(VLOOKUP($A179,'Annex 2 Designated EHV charges'!$A:$P,10,FALSE)=0,"",VLOOKUP($A179,'Annex 2 Designated EHV charges'!$A:$P,10,FALSE)),"")</f>
        <v/>
      </c>
      <c r="G179" s="63" t="str">
        <f>IFERROR(IF(VLOOKUP($A179,'Annex 2 Designated EHV charges'!$A:$P,11,FALSE)=0,"",VLOOKUP($A179,'Annex 2 Designated EHV charges'!$A:$P,11,FALSE)),"")</f>
        <v/>
      </c>
      <c r="H179" s="53" t="str">
        <f>IFERROR(IF(VLOOKUP($A179,'Annex 2 Designated EHV charges'!$A:$P,12,FALSE)=0,"",VLOOKUP($A179,'Annex 2 Designated EHV charges'!$A:$P,12,FALSE)),"")</f>
        <v/>
      </c>
    </row>
    <row r="180" spans="1:8" x14ac:dyDescent="0.2">
      <c r="A180" s="53" t="str">
        <f t="array" ref="A180">IFERROR(INDEX('Annex 2 Designated EHV charges'!$A$11:$A$58, MATCH(0, IF(ISBLANK('Annex 2 Designated EHV charges'!$A$11:$A$58),1, COUNTIF(A$4:$A179, 'Annex 2 Designated EHV charges'!$A$11:$A$58)), 0)),"")</f>
        <v/>
      </c>
      <c r="B180" s="53" t="str">
        <f>IF($A180="","",VLOOKUP($A180,'Annex 2 Designated EHV charges'!$A:$O,2,0))</f>
        <v/>
      </c>
      <c r="C180" s="61" t="str">
        <f>IF($A180="","",VLOOKUP($A180,'Annex 2 Designated EHV charges'!$A:$O,3,0))</f>
        <v/>
      </c>
      <c r="D180" s="61" t="str">
        <f>IF($A180="","",VLOOKUP($A180,'Annex 2 Designated EHV charges'!$A:$O,7,0))</f>
        <v/>
      </c>
      <c r="E180" s="62" t="str">
        <f>IFERROR(IF(VLOOKUP($A180,'Annex 2 Designated EHV charges'!$A:$P,9,FALSE)=0,"",VLOOKUP($A180,'Annex 2 Designated EHV charges'!$A:$P,9,FALSE)),"")</f>
        <v/>
      </c>
      <c r="F180" s="208" t="str">
        <f>IFERROR(IF(VLOOKUP($A180,'Annex 2 Designated EHV charges'!$A:$P,10,FALSE)=0,"",VLOOKUP($A180,'Annex 2 Designated EHV charges'!$A:$P,10,FALSE)),"")</f>
        <v/>
      </c>
      <c r="G180" s="63" t="str">
        <f>IFERROR(IF(VLOOKUP($A180,'Annex 2 Designated EHV charges'!$A:$P,11,FALSE)=0,"",VLOOKUP($A180,'Annex 2 Designated EHV charges'!$A:$P,11,FALSE)),"")</f>
        <v/>
      </c>
      <c r="H180" s="53" t="str">
        <f>IFERROR(IF(VLOOKUP($A180,'Annex 2 Designated EHV charges'!$A:$P,12,FALSE)=0,"",VLOOKUP($A180,'Annex 2 Designated EHV charges'!$A:$P,12,FALSE)),"")</f>
        <v/>
      </c>
    </row>
    <row r="181" spans="1:8" x14ac:dyDescent="0.2">
      <c r="A181" s="53" t="str">
        <f t="array" ref="A181">IFERROR(INDEX('Annex 2 Designated EHV charges'!$A$11:$A$58, MATCH(0, IF(ISBLANK('Annex 2 Designated EHV charges'!$A$11:$A$58),1, COUNTIF(A$4:$A180, 'Annex 2 Designated EHV charges'!$A$11:$A$58)), 0)),"")</f>
        <v/>
      </c>
      <c r="B181" s="53" t="str">
        <f>IF($A181="","",VLOOKUP($A181,'Annex 2 Designated EHV charges'!$A:$O,2,0))</f>
        <v/>
      </c>
      <c r="C181" s="61" t="str">
        <f>IF($A181="","",VLOOKUP($A181,'Annex 2 Designated EHV charges'!$A:$O,3,0))</f>
        <v/>
      </c>
      <c r="D181" s="61" t="str">
        <f>IF($A181="","",VLOOKUP($A181,'Annex 2 Designated EHV charges'!$A:$O,7,0))</f>
        <v/>
      </c>
      <c r="E181" s="62" t="str">
        <f>IFERROR(IF(VLOOKUP($A181,'Annex 2 Designated EHV charges'!$A:$P,9,FALSE)=0,"",VLOOKUP($A181,'Annex 2 Designated EHV charges'!$A:$P,9,FALSE)),"")</f>
        <v/>
      </c>
      <c r="F181" s="208" t="str">
        <f>IFERROR(IF(VLOOKUP($A181,'Annex 2 Designated EHV charges'!$A:$P,10,FALSE)=0,"",VLOOKUP($A181,'Annex 2 Designated EHV charges'!$A:$P,10,FALSE)),"")</f>
        <v/>
      </c>
      <c r="G181" s="63" t="str">
        <f>IFERROR(IF(VLOOKUP($A181,'Annex 2 Designated EHV charges'!$A:$P,11,FALSE)=0,"",VLOOKUP($A181,'Annex 2 Designated EHV charges'!$A:$P,11,FALSE)),"")</f>
        <v/>
      </c>
      <c r="H181" s="53" t="str">
        <f>IFERROR(IF(VLOOKUP($A181,'Annex 2 Designated EHV charges'!$A:$P,12,FALSE)=0,"",VLOOKUP($A181,'Annex 2 Designated EHV charges'!$A:$P,12,FALSE)),"")</f>
        <v/>
      </c>
    </row>
    <row r="182" spans="1:8" x14ac:dyDescent="0.2">
      <c r="A182" s="53" t="str">
        <f t="array" ref="A182">IFERROR(INDEX('Annex 2 Designated EHV charges'!$A$11:$A$58, MATCH(0, IF(ISBLANK('Annex 2 Designated EHV charges'!$A$11:$A$58),1, COUNTIF(A$4:$A181, 'Annex 2 Designated EHV charges'!$A$11:$A$58)), 0)),"")</f>
        <v/>
      </c>
      <c r="B182" s="53" t="str">
        <f>IF($A182="","",VLOOKUP($A182,'Annex 2 Designated EHV charges'!$A:$O,2,0))</f>
        <v/>
      </c>
      <c r="C182" s="61" t="str">
        <f>IF($A182="","",VLOOKUP($A182,'Annex 2 Designated EHV charges'!$A:$O,3,0))</f>
        <v/>
      </c>
      <c r="D182" s="61" t="str">
        <f>IF($A182="","",VLOOKUP($A182,'Annex 2 Designated EHV charges'!$A:$O,7,0))</f>
        <v/>
      </c>
      <c r="E182" s="62" t="str">
        <f>IFERROR(IF(VLOOKUP($A182,'Annex 2 Designated EHV charges'!$A:$P,9,FALSE)=0,"",VLOOKUP($A182,'Annex 2 Designated EHV charges'!$A:$P,9,FALSE)),"")</f>
        <v/>
      </c>
      <c r="F182" s="208" t="str">
        <f>IFERROR(IF(VLOOKUP($A182,'Annex 2 Designated EHV charges'!$A:$P,10,FALSE)=0,"",VLOOKUP($A182,'Annex 2 Designated EHV charges'!$A:$P,10,FALSE)),"")</f>
        <v/>
      </c>
      <c r="G182" s="63" t="str">
        <f>IFERROR(IF(VLOOKUP($A182,'Annex 2 Designated EHV charges'!$A:$P,11,FALSE)=0,"",VLOOKUP($A182,'Annex 2 Designated EHV charges'!$A:$P,11,FALSE)),"")</f>
        <v/>
      </c>
      <c r="H182" s="53" t="str">
        <f>IFERROR(IF(VLOOKUP($A182,'Annex 2 Designated EHV charges'!$A:$P,12,FALSE)=0,"",VLOOKUP($A182,'Annex 2 Designated EHV charges'!$A:$P,12,FALSE)),"")</f>
        <v/>
      </c>
    </row>
    <row r="183" spans="1:8" x14ac:dyDescent="0.2">
      <c r="A183" s="53" t="str">
        <f t="array" ref="A183">IFERROR(INDEX('Annex 2 Designated EHV charges'!$A$11:$A$58, MATCH(0, IF(ISBLANK('Annex 2 Designated EHV charges'!$A$11:$A$58),1, COUNTIF(A$4:$A182, 'Annex 2 Designated EHV charges'!$A$11:$A$58)), 0)),"")</f>
        <v/>
      </c>
      <c r="B183" s="53" t="str">
        <f>IF($A183="","",VLOOKUP($A183,'Annex 2 Designated EHV charges'!$A:$O,2,0))</f>
        <v/>
      </c>
      <c r="C183" s="61" t="str">
        <f>IF($A183="","",VLOOKUP($A183,'Annex 2 Designated EHV charges'!$A:$O,3,0))</f>
        <v/>
      </c>
      <c r="D183" s="61" t="str">
        <f>IF($A183="","",VLOOKUP($A183,'Annex 2 Designated EHV charges'!$A:$O,7,0))</f>
        <v/>
      </c>
      <c r="E183" s="62" t="str">
        <f>IFERROR(IF(VLOOKUP($A183,'Annex 2 Designated EHV charges'!$A:$P,9,FALSE)=0,"",VLOOKUP($A183,'Annex 2 Designated EHV charges'!$A:$P,9,FALSE)),"")</f>
        <v/>
      </c>
      <c r="F183" s="208" t="str">
        <f>IFERROR(IF(VLOOKUP($A183,'Annex 2 Designated EHV charges'!$A:$P,10,FALSE)=0,"",VLOOKUP($A183,'Annex 2 Designated EHV charges'!$A:$P,10,FALSE)),"")</f>
        <v/>
      </c>
      <c r="G183" s="63" t="str">
        <f>IFERROR(IF(VLOOKUP($A183,'Annex 2 Designated EHV charges'!$A:$P,11,FALSE)=0,"",VLOOKUP($A183,'Annex 2 Designated EHV charges'!$A:$P,11,FALSE)),"")</f>
        <v/>
      </c>
      <c r="H183" s="53" t="str">
        <f>IFERROR(IF(VLOOKUP($A183,'Annex 2 Designated EHV charges'!$A:$P,12,FALSE)=0,"",VLOOKUP($A183,'Annex 2 Designated EHV charges'!$A:$P,12,FALSE)),"")</f>
        <v/>
      </c>
    </row>
    <row r="184" spans="1:8" x14ac:dyDescent="0.2">
      <c r="A184" s="53" t="str">
        <f t="array" ref="A184">IFERROR(INDEX('Annex 2 Designated EHV charges'!$A$11:$A$58, MATCH(0, IF(ISBLANK('Annex 2 Designated EHV charges'!$A$11:$A$58),1, COUNTIF(A$4:$A183, 'Annex 2 Designated EHV charges'!$A$11:$A$58)), 0)),"")</f>
        <v/>
      </c>
      <c r="B184" s="53" t="str">
        <f>IF($A184="","",VLOOKUP($A184,'Annex 2 Designated EHV charges'!$A:$O,2,0))</f>
        <v/>
      </c>
      <c r="C184" s="61" t="str">
        <f>IF($A184="","",VLOOKUP($A184,'Annex 2 Designated EHV charges'!$A:$O,3,0))</f>
        <v/>
      </c>
      <c r="D184" s="61" t="str">
        <f>IF($A184="","",VLOOKUP($A184,'Annex 2 Designated EHV charges'!$A:$O,7,0))</f>
        <v/>
      </c>
      <c r="E184" s="62" t="str">
        <f>IFERROR(IF(VLOOKUP($A184,'Annex 2 Designated EHV charges'!$A:$P,9,FALSE)=0,"",VLOOKUP($A184,'Annex 2 Designated EHV charges'!$A:$P,9,FALSE)),"")</f>
        <v/>
      </c>
      <c r="F184" s="208" t="str">
        <f>IFERROR(IF(VLOOKUP($A184,'Annex 2 Designated EHV charges'!$A:$P,10,FALSE)=0,"",VLOOKUP($A184,'Annex 2 Designated EHV charges'!$A:$P,10,FALSE)),"")</f>
        <v/>
      </c>
      <c r="G184" s="63" t="str">
        <f>IFERROR(IF(VLOOKUP($A184,'Annex 2 Designated EHV charges'!$A:$P,11,FALSE)=0,"",VLOOKUP($A184,'Annex 2 Designated EHV charges'!$A:$P,11,FALSE)),"")</f>
        <v/>
      </c>
      <c r="H184" s="53" t="str">
        <f>IFERROR(IF(VLOOKUP($A184,'Annex 2 Designated EHV charges'!$A:$P,12,FALSE)=0,"",VLOOKUP($A184,'Annex 2 Designated EHV charges'!$A:$P,12,FALSE)),"")</f>
        <v/>
      </c>
    </row>
    <row r="185" spans="1:8" x14ac:dyDescent="0.2">
      <c r="A185" s="53" t="str">
        <f t="array" ref="A185">IFERROR(INDEX('Annex 2 Designated EHV charges'!$A$11:$A$58, MATCH(0, IF(ISBLANK('Annex 2 Designated EHV charges'!$A$11:$A$58),1, COUNTIF(A$4:$A184, 'Annex 2 Designated EHV charges'!$A$11:$A$58)), 0)),"")</f>
        <v/>
      </c>
      <c r="B185" s="53" t="str">
        <f>IF($A185="","",VLOOKUP($A185,'Annex 2 Designated EHV charges'!$A:$O,2,0))</f>
        <v/>
      </c>
      <c r="C185" s="61" t="str">
        <f>IF($A185="","",VLOOKUP($A185,'Annex 2 Designated EHV charges'!$A:$O,3,0))</f>
        <v/>
      </c>
      <c r="D185" s="61" t="str">
        <f>IF($A185="","",VLOOKUP($A185,'Annex 2 Designated EHV charges'!$A:$O,7,0))</f>
        <v/>
      </c>
      <c r="E185" s="62" t="str">
        <f>IFERROR(IF(VLOOKUP($A185,'Annex 2 Designated EHV charges'!$A:$P,9,FALSE)=0,"",VLOOKUP($A185,'Annex 2 Designated EHV charges'!$A:$P,9,FALSE)),"")</f>
        <v/>
      </c>
      <c r="F185" s="208" t="str">
        <f>IFERROR(IF(VLOOKUP($A185,'Annex 2 Designated EHV charges'!$A:$P,10,FALSE)=0,"",VLOOKUP($A185,'Annex 2 Designated EHV charges'!$A:$P,10,FALSE)),"")</f>
        <v/>
      </c>
      <c r="G185" s="63" t="str">
        <f>IFERROR(IF(VLOOKUP($A185,'Annex 2 Designated EHV charges'!$A:$P,11,FALSE)=0,"",VLOOKUP($A185,'Annex 2 Designated EHV charges'!$A:$P,11,FALSE)),"")</f>
        <v/>
      </c>
      <c r="H185" s="53" t="str">
        <f>IFERROR(IF(VLOOKUP($A185,'Annex 2 Designated EHV charges'!$A:$P,12,FALSE)=0,"",VLOOKUP($A185,'Annex 2 Designated EHV charges'!$A:$P,12,FALSE)),"")</f>
        <v/>
      </c>
    </row>
    <row r="186" spans="1:8" x14ac:dyDescent="0.2">
      <c r="A186" s="53" t="str">
        <f t="array" ref="A186">IFERROR(INDEX('Annex 2 Designated EHV charges'!$A$11:$A$58, MATCH(0, IF(ISBLANK('Annex 2 Designated EHV charges'!$A$11:$A$58),1, COUNTIF(A$4:$A185, 'Annex 2 Designated EHV charges'!$A$11:$A$58)), 0)),"")</f>
        <v/>
      </c>
      <c r="B186" s="53" t="str">
        <f>IF($A186="","",VLOOKUP($A186,'Annex 2 Designated EHV charges'!$A:$O,2,0))</f>
        <v/>
      </c>
      <c r="C186" s="61" t="str">
        <f>IF($A186="","",VLOOKUP($A186,'Annex 2 Designated EHV charges'!$A:$O,3,0))</f>
        <v/>
      </c>
      <c r="D186" s="61" t="str">
        <f>IF($A186="","",VLOOKUP($A186,'Annex 2 Designated EHV charges'!$A:$O,7,0))</f>
        <v/>
      </c>
      <c r="E186" s="62" t="str">
        <f>IFERROR(IF(VLOOKUP($A186,'Annex 2 Designated EHV charges'!$A:$P,9,FALSE)=0,"",VLOOKUP($A186,'Annex 2 Designated EHV charges'!$A:$P,9,FALSE)),"")</f>
        <v/>
      </c>
      <c r="F186" s="208" t="str">
        <f>IFERROR(IF(VLOOKUP($A186,'Annex 2 Designated EHV charges'!$A:$P,10,FALSE)=0,"",VLOOKUP($A186,'Annex 2 Designated EHV charges'!$A:$P,10,FALSE)),"")</f>
        <v/>
      </c>
      <c r="G186" s="63" t="str">
        <f>IFERROR(IF(VLOOKUP($A186,'Annex 2 Designated EHV charges'!$A:$P,11,FALSE)=0,"",VLOOKUP($A186,'Annex 2 Designated EHV charges'!$A:$P,11,FALSE)),"")</f>
        <v/>
      </c>
      <c r="H186" s="53" t="str">
        <f>IFERROR(IF(VLOOKUP($A186,'Annex 2 Designated EHV charges'!$A:$P,12,FALSE)=0,"",VLOOKUP($A186,'Annex 2 Designated EHV charges'!$A:$P,12,FALSE)),"")</f>
        <v/>
      </c>
    </row>
    <row r="187" spans="1:8" x14ac:dyDescent="0.2">
      <c r="A187" s="53" t="str">
        <f t="array" ref="A187">IFERROR(INDEX('Annex 2 Designated EHV charges'!$A$11:$A$58, MATCH(0, IF(ISBLANK('Annex 2 Designated EHV charges'!$A$11:$A$58),1, COUNTIF(A$4:$A186, 'Annex 2 Designated EHV charges'!$A$11:$A$58)), 0)),"")</f>
        <v/>
      </c>
      <c r="B187" s="53" t="str">
        <f>IF($A187="","",VLOOKUP($A187,'Annex 2 Designated EHV charges'!$A:$O,2,0))</f>
        <v/>
      </c>
      <c r="C187" s="61" t="str">
        <f>IF($A187="","",VLOOKUP($A187,'Annex 2 Designated EHV charges'!$A:$O,3,0))</f>
        <v/>
      </c>
      <c r="D187" s="61" t="str">
        <f>IF($A187="","",VLOOKUP($A187,'Annex 2 Designated EHV charges'!$A:$O,7,0))</f>
        <v/>
      </c>
      <c r="E187" s="62" t="str">
        <f>IFERROR(IF(VLOOKUP($A187,'Annex 2 Designated EHV charges'!$A:$P,9,FALSE)=0,"",VLOOKUP($A187,'Annex 2 Designated EHV charges'!$A:$P,9,FALSE)),"")</f>
        <v/>
      </c>
      <c r="F187" s="208" t="str">
        <f>IFERROR(IF(VLOOKUP($A187,'Annex 2 Designated EHV charges'!$A:$P,10,FALSE)=0,"",VLOOKUP($A187,'Annex 2 Designated EHV charges'!$A:$P,10,FALSE)),"")</f>
        <v/>
      </c>
      <c r="G187" s="63" t="str">
        <f>IFERROR(IF(VLOOKUP($A187,'Annex 2 Designated EHV charges'!$A:$P,11,FALSE)=0,"",VLOOKUP($A187,'Annex 2 Designated EHV charges'!$A:$P,11,FALSE)),"")</f>
        <v/>
      </c>
      <c r="H187" s="53" t="str">
        <f>IFERROR(IF(VLOOKUP($A187,'Annex 2 Designated EHV charges'!$A:$P,12,FALSE)=0,"",VLOOKUP($A187,'Annex 2 Designated EHV charges'!$A:$P,12,FALSE)),"")</f>
        <v/>
      </c>
    </row>
    <row r="188" spans="1:8" x14ac:dyDescent="0.2">
      <c r="A188" s="53" t="str">
        <f t="array" ref="A188">IFERROR(INDEX('Annex 2 Designated EHV charges'!$A$11:$A$58, MATCH(0, IF(ISBLANK('Annex 2 Designated EHV charges'!$A$11:$A$58),1, COUNTIF(A$4:$A187, 'Annex 2 Designated EHV charges'!$A$11:$A$58)), 0)),"")</f>
        <v/>
      </c>
      <c r="B188" s="53" t="str">
        <f>IF($A188="","",VLOOKUP($A188,'Annex 2 Designated EHV charges'!$A:$O,2,0))</f>
        <v/>
      </c>
      <c r="C188" s="61" t="str">
        <f>IF($A188="","",VLOOKUP($A188,'Annex 2 Designated EHV charges'!$A:$O,3,0))</f>
        <v/>
      </c>
      <c r="D188" s="61" t="str">
        <f>IF($A188="","",VLOOKUP($A188,'Annex 2 Designated EHV charges'!$A:$O,7,0))</f>
        <v/>
      </c>
      <c r="E188" s="62" t="str">
        <f>IFERROR(IF(VLOOKUP($A188,'Annex 2 Designated EHV charges'!$A:$P,9,FALSE)=0,"",VLOOKUP($A188,'Annex 2 Designated EHV charges'!$A:$P,9,FALSE)),"")</f>
        <v/>
      </c>
      <c r="F188" s="208" t="str">
        <f>IFERROR(IF(VLOOKUP($A188,'Annex 2 Designated EHV charges'!$A:$P,10,FALSE)=0,"",VLOOKUP($A188,'Annex 2 Designated EHV charges'!$A:$P,10,FALSE)),"")</f>
        <v/>
      </c>
      <c r="G188" s="63" t="str">
        <f>IFERROR(IF(VLOOKUP($A188,'Annex 2 Designated EHV charges'!$A:$P,11,FALSE)=0,"",VLOOKUP($A188,'Annex 2 Designated EHV charges'!$A:$P,11,FALSE)),"")</f>
        <v/>
      </c>
      <c r="H188" s="53" t="str">
        <f>IFERROR(IF(VLOOKUP($A188,'Annex 2 Designated EHV charges'!$A:$P,12,FALSE)=0,"",VLOOKUP($A188,'Annex 2 Designated EHV charges'!$A:$P,12,FALSE)),"")</f>
        <v/>
      </c>
    </row>
    <row r="189" spans="1:8" x14ac:dyDescent="0.2">
      <c r="A189" s="53" t="str">
        <f t="array" ref="A189">IFERROR(INDEX('Annex 2 Designated EHV charges'!$A$11:$A$58, MATCH(0, IF(ISBLANK('Annex 2 Designated EHV charges'!$A$11:$A$58),1, COUNTIF(A$4:$A188, 'Annex 2 Designated EHV charges'!$A$11:$A$58)), 0)),"")</f>
        <v/>
      </c>
      <c r="B189" s="53" t="str">
        <f>IF($A189="","",VLOOKUP($A189,'Annex 2 Designated EHV charges'!$A:$O,2,0))</f>
        <v/>
      </c>
      <c r="C189" s="61" t="str">
        <f>IF($A189="","",VLOOKUP($A189,'Annex 2 Designated EHV charges'!$A:$O,3,0))</f>
        <v/>
      </c>
      <c r="D189" s="61" t="str">
        <f>IF($A189="","",VLOOKUP($A189,'Annex 2 Designated EHV charges'!$A:$O,7,0))</f>
        <v/>
      </c>
      <c r="E189" s="62" t="str">
        <f>IFERROR(IF(VLOOKUP($A189,'Annex 2 Designated EHV charges'!$A:$P,9,FALSE)=0,"",VLOOKUP($A189,'Annex 2 Designated EHV charges'!$A:$P,9,FALSE)),"")</f>
        <v/>
      </c>
      <c r="F189" s="208" t="str">
        <f>IFERROR(IF(VLOOKUP($A189,'Annex 2 Designated EHV charges'!$A:$P,10,FALSE)=0,"",VLOOKUP($A189,'Annex 2 Designated EHV charges'!$A:$P,10,FALSE)),"")</f>
        <v/>
      </c>
      <c r="G189" s="63" t="str">
        <f>IFERROR(IF(VLOOKUP($A189,'Annex 2 Designated EHV charges'!$A:$P,11,FALSE)=0,"",VLOOKUP($A189,'Annex 2 Designated EHV charges'!$A:$P,11,FALSE)),"")</f>
        <v/>
      </c>
      <c r="H189" s="53" t="str">
        <f>IFERROR(IF(VLOOKUP($A189,'Annex 2 Designated EHV charges'!$A:$P,12,FALSE)=0,"",VLOOKUP($A189,'Annex 2 Designated EHV charges'!$A:$P,12,FALSE)),"")</f>
        <v/>
      </c>
    </row>
    <row r="190" spans="1:8" x14ac:dyDescent="0.2">
      <c r="A190" s="53" t="str">
        <f t="array" ref="A190">IFERROR(INDEX('Annex 2 Designated EHV charges'!$A$11:$A$58, MATCH(0, IF(ISBLANK('Annex 2 Designated EHV charges'!$A$11:$A$58),1, COUNTIF(A$4:$A189, 'Annex 2 Designated EHV charges'!$A$11:$A$58)), 0)),"")</f>
        <v/>
      </c>
      <c r="B190" s="53" t="str">
        <f>IF($A190="","",VLOOKUP($A190,'Annex 2 Designated EHV charges'!$A:$O,2,0))</f>
        <v/>
      </c>
      <c r="C190" s="61" t="str">
        <f>IF($A190="","",VLOOKUP($A190,'Annex 2 Designated EHV charges'!$A:$O,3,0))</f>
        <v/>
      </c>
      <c r="D190" s="61" t="str">
        <f>IF($A190="","",VLOOKUP($A190,'Annex 2 Designated EHV charges'!$A:$O,7,0))</f>
        <v/>
      </c>
      <c r="E190" s="62" t="str">
        <f>IFERROR(IF(VLOOKUP($A190,'Annex 2 Designated EHV charges'!$A:$P,9,FALSE)=0,"",VLOOKUP($A190,'Annex 2 Designated EHV charges'!$A:$P,9,FALSE)),"")</f>
        <v/>
      </c>
      <c r="F190" s="208" t="str">
        <f>IFERROR(IF(VLOOKUP($A190,'Annex 2 Designated EHV charges'!$A:$P,10,FALSE)=0,"",VLOOKUP($A190,'Annex 2 Designated EHV charges'!$A:$P,10,FALSE)),"")</f>
        <v/>
      </c>
      <c r="G190" s="63" t="str">
        <f>IFERROR(IF(VLOOKUP($A190,'Annex 2 Designated EHV charges'!$A:$P,11,FALSE)=0,"",VLOOKUP($A190,'Annex 2 Designated EHV charges'!$A:$P,11,FALSE)),"")</f>
        <v/>
      </c>
      <c r="H190" s="53" t="str">
        <f>IFERROR(IF(VLOOKUP($A190,'Annex 2 Designated EHV charges'!$A:$P,12,FALSE)=0,"",VLOOKUP($A190,'Annex 2 Designated EHV charges'!$A:$P,12,FALSE)),"")</f>
        <v/>
      </c>
    </row>
    <row r="191" spans="1:8" x14ac:dyDescent="0.2">
      <c r="A191" s="53" t="str">
        <f t="array" ref="A191">IFERROR(INDEX('Annex 2 Designated EHV charges'!$A$11:$A$58, MATCH(0, IF(ISBLANK('Annex 2 Designated EHV charges'!$A$11:$A$58),1, COUNTIF(A$4:$A190, 'Annex 2 Designated EHV charges'!$A$11:$A$58)), 0)),"")</f>
        <v/>
      </c>
      <c r="B191" s="53" t="str">
        <f>IF($A191="","",VLOOKUP($A191,'Annex 2 Designated EHV charges'!$A:$O,2,0))</f>
        <v/>
      </c>
      <c r="C191" s="61" t="str">
        <f>IF($A191="","",VLOOKUP($A191,'Annex 2 Designated EHV charges'!$A:$O,3,0))</f>
        <v/>
      </c>
      <c r="D191" s="61" t="str">
        <f>IF($A191="","",VLOOKUP($A191,'Annex 2 Designated EHV charges'!$A:$O,7,0))</f>
        <v/>
      </c>
      <c r="E191" s="62" t="str">
        <f>IFERROR(IF(VLOOKUP($A191,'Annex 2 Designated EHV charges'!$A:$P,9,FALSE)=0,"",VLOOKUP($A191,'Annex 2 Designated EHV charges'!$A:$P,9,FALSE)),"")</f>
        <v/>
      </c>
      <c r="F191" s="208" t="str">
        <f>IFERROR(IF(VLOOKUP($A191,'Annex 2 Designated EHV charges'!$A:$P,10,FALSE)=0,"",VLOOKUP($A191,'Annex 2 Designated EHV charges'!$A:$P,10,FALSE)),"")</f>
        <v/>
      </c>
      <c r="G191" s="63" t="str">
        <f>IFERROR(IF(VLOOKUP($A191,'Annex 2 Designated EHV charges'!$A:$P,11,FALSE)=0,"",VLOOKUP($A191,'Annex 2 Designated EHV charges'!$A:$P,11,FALSE)),"")</f>
        <v/>
      </c>
      <c r="H191" s="53" t="str">
        <f>IFERROR(IF(VLOOKUP($A191,'Annex 2 Designated EHV charges'!$A:$P,12,FALSE)=0,"",VLOOKUP($A191,'Annex 2 Designated EHV charges'!$A:$P,12,FALSE)),"")</f>
        <v/>
      </c>
    </row>
    <row r="192" spans="1:8" x14ac:dyDescent="0.2">
      <c r="A192" s="53" t="str">
        <f t="array" ref="A192">IFERROR(INDEX('Annex 2 Designated EHV charges'!$A$11:$A$58, MATCH(0, IF(ISBLANK('Annex 2 Designated EHV charges'!$A$11:$A$58),1, COUNTIF(A$4:$A191, 'Annex 2 Designated EHV charges'!$A$11:$A$58)), 0)),"")</f>
        <v/>
      </c>
      <c r="B192" s="53" t="str">
        <f>IF($A192="","",VLOOKUP($A192,'Annex 2 Designated EHV charges'!$A:$O,2,0))</f>
        <v/>
      </c>
      <c r="C192" s="61" t="str">
        <f>IF($A192="","",VLOOKUP($A192,'Annex 2 Designated EHV charges'!$A:$O,3,0))</f>
        <v/>
      </c>
      <c r="D192" s="61" t="str">
        <f>IF($A192="","",VLOOKUP($A192,'Annex 2 Designated EHV charges'!$A:$O,7,0))</f>
        <v/>
      </c>
      <c r="E192" s="62" t="str">
        <f>IFERROR(IF(VLOOKUP($A192,'Annex 2 Designated EHV charges'!$A:$P,9,FALSE)=0,"",VLOOKUP($A192,'Annex 2 Designated EHV charges'!$A:$P,9,FALSE)),"")</f>
        <v/>
      </c>
      <c r="F192" s="208" t="str">
        <f>IFERROR(IF(VLOOKUP($A192,'Annex 2 Designated EHV charges'!$A:$P,10,FALSE)=0,"",VLOOKUP($A192,'Annex 2 Designated EHV charges'!$A:$P,10,FALSE)),"")</f>
        <v/>
      </c>
      <c r="G192" s="63" t="str">
        <f>IFERROR(IF(VLOOKUP($A192,'Annex 2 Designated EHV charges'!$A:$P,11,FALSE)=0,"",VLOOKUP($A192,'Annex 2 Designated EHV charges'!$A:$P,11,FALSE)),"")</f>
        <v/>
      </c>
      <c r="H192" s="53" t="str">
        <f>IFERROR(IF(VLOOKUP($A192,'Annex 2 Designated EHV charges'!$A:$P,12,FALSE)=0,"",VLOOKUP($A192,'Annex 2 Designated EHV charges'!$A:$P,12,FALSE)),"")</f>
        <v/>
      </c>
    </row>
    <row r="193" spans="1:8" x14ac:dyDescent="0.2">
      <c r="A193" s="53" t="str">
        <f t="array" ref="A193">IFERROR(INDEX('Annex 2 Designated EHV charges'!$A$11:$A$58, MATCH(0, IF(ISBLANK('Annex 2 Designated EHV charges'!$A$11:$A$58),1, COUNTIF(A$4:$A192, 'Annex 2 Designated EHV charges'!$A$11:$A$58)), 0)),"")</f>
        <v/>
      </c>
      <c r="B193" s="53" t="str">
        <f>IF($A193="","",VLOOKUP($A193,'Annex 2 Designated EHV charges'!$A:$O,2,0))</f>
        <v/>
      </c>
      <c r="C193" s="61" t="str">
        <f>IF($A193="","",VLOOKUP($A193,'Annex 2 Designated EHV charges'!$A:$O,3,0))</f>
        <v/>
      </c>
      <c r="D193" s="61" t="str">
        <f>IF($A193="","",VLOOKUP($A193,'Annex 2 Designated EHV charges'!$A:$O,7,0))</f>
        <v/>
      </c>
      <c r="E193" s="62" t="str">
        <f>IFERROR(IF(VLOOKUP($A193,'Annex 2 Designated EHV charges'!$A:$P,9,FALSE)=0,"",VLOOKUP($A193,'Annex 2 Designated EHV charges'!$A:$P,9,FALSE)),"")</f>
        <v/>
      </c>
      <c r="F193" s="208" t="str">
        <f>IFERROR(IF(VLOOKUP($A193,'Annex 2 Designated EHV charges'!$A:$P,10,FALSE)=0,"",VLOOKUP($A193,'Annex 2 Designated EHV charges'!$A:$P,10,FALSE)),"")</f>
        <v/>
      </c>
      <c r="G193" s="63" t="str">
        <f>IFERROR(IF(VLOOKUP($A193,'Annex 2 Designated EHV charges'!$A:$P,11,FALSE)=0,"",VLOOKUP($A193,'Annex 2 Designated EHV charges'!$A:$P,11,FALSE)),"")</f>
        <v/>
      </c>
      <c r="H193" s="53" t="str">
        <f>IFERROR(IF(VLOOKUP($A193,'Annex 2 Designated EHV charges'!$A:$P,12,FALSE)=0,"",VLOOKUP($A193,'Annex 2 Designated EHV charges'!$A:$P,12,FALSE)),"")</f>
        <v/>
      </c>
    </row>
    <row r="194" spans="1:8" x14ac:dyDescent="0.2">
      <c r="A194" s="53" t="str">
        <f t="array" ref="A194">IFERROR(INDEX('Annex 2 Designated EHV charges'!$A$11:$A$58, MATCH(0, IF(ISBLANK('Annex 2 Designated EHV charges'!$A$11:$A$58),1, COUNTIF(A$4:$A193, 'Annex 2 Designated EHV charges'!$A$11:$A$58)), 0)),"")</f>
        <v/>
      </c>
      <c r="B194" s="53" t="str">
        <f>IF($A194="","",VLOOKUP($A194,'Annex 2 Designated EHV charges'!$A:$O,2,0))</f>
        <v/>
      </c>
      <c r="C194" s="61" t="str">
        <f>IF($A194="","",VLOOKUP($A194,'Annex 2 Designated EHV charges'!$A:$O,3,0))</f>
        <v/>
      </c>
      <c r="D194" s="61" t="str">
        <f>IF($A194="","",VLOOKUP($A194,'Annex 2 Designated EHV charges'!$A:$O,7,0))</f>
        <v/>
      </c>
      <c r="E194" s="62" t="str">
        <f>IFERROR(IF(VLOOKUP($A194,'Annex 2 Designated EHV charges'!$A:$P,9,FALSE)=0,"",VLOOKUP($A194,'Annex 2 Designated EHV charges'!$A:$P,9,FALSE)),"")</f>
        <v/>
      </c>
      <c r="F194" s="208" t="str">
        <f>IFERROR(IF(VLOOKUP($A194,'Annex 2 Designated EHV charges'!$A:$P,10,FALSE)=0,"",VLOOKUP($A194,'Annex 2 Designated EHV charges'!$A:$P,10,FALSE)),"")</f>
        <v/>
      </c>
      <c r="G194" s="63" t="str">
        <f>IFERROR(IF(VLOOKUP($A194,'Annex 2 Designated EHV charges'!$A:$P,11,FALSE)=0,"",VLOOKUP($A194,'Annex 2 Designated EHV charges'!$A:$P,11,FALSE)),"")</f>
        <v/>
      </c>
      <c r="H194" s="53" t="str">
        <f>IFERROR(IF(VLOOKUP($A194,'Annex 2 Designated EHV charges'!$A:$P,12,FALSE)=0,"",VLOOKUP($A194,'Annex 2 Designated EHV charges'!$A:$P,12,FALSE)),"")</f>
        <v/>
      </c>
    </row>
    <row r="195" spans="1:8" x14ac:dyDescent="0.2">
      <c r="A195" s="53" t="str">
        <f t="array" ref="A195">IFERROR(INDEX('Annex 2 Designated EHV charges'!$A$11:$A$58, MATCH(0, IF(ISBLANK('Annex 2 Designated EHV charges'!$A$11:$A$58),1, COUNTIF(A$4:$A194, 'Annex 2 Designated EHV charges'!$A$11:$A$58)), 0)),"")</f>
        <v/>
      </c>
      <c r="B195" s="53" t="str">
        <f>IF($A195="","",VLOOKUP($A195,'Annex 2 Designated EHV charges'!$A:$O,2,0))</f>
        <v/>
      </c>
      <c r="C195" s="61" t="str">
        <f>IF($A195="","",VLOOKUP($A195,'Annex 2 Designated EHV charges'!$A:$O,3,0))</f>
        <v/>
      </c>
      <c r="D195" s="61" t="str">
        <f>IF($A195="","",VLOOKUP($A195,'Annex 2 Designated EHV charges'!$A:$O,7,0))</f>
        <v/>
      </c>
      <c r="E195" s="62" t="str">
        <f>IFERROR(IF(VLOOKUP($A195,'Annex 2 Designated EHV charges'!$A:$P,9,FALSE)=0,"",VLOOKUP($A195,'Annex 2 Designated EHV charges'!$A:$P,9,FALSE)),"")</f>
        <v/>
      </c>
      <c r="F195" s="208" t="str">
        <f>IFERROR(IF(VLOOKUP($A195,'Annex 2 Designated EHV charges'!$A:$P,10,FALSE)=0,"",VLOOKUP($A195,'Annex 2 Designated EHV charges'!$A:$P,10,FALSE)),"")</f>
        <v/>
      </c>
      <c r="G195" s="63" t="str">
        <f>IFERROR(IF(VLOOKUP($A195,'Annex 2 Designated EHV charges'!$A:$P,11,FALSE)=0,"",VLOOKUP($A195,'Annex 2 Designated EHV charges'!$A:$P,11,FALSE)),"")</f>
        <v/>
      </c>
      <c r="H195" s="53" t="str">
        <f>IFERROR(IF(VLOOKUP($A195,'Annex 2 Designated EHV charges'!$A:$P,12,FALSE)=0,"",VLOOKUP($A195,'Annex 2 Designated EHV charges'!$A:$P,12,FALSE)),"")</f>
        <v/>
      </c>
    </row>
    <row r="196" spans="1:8" x14ac:dyDescent="0.2">
      <c r="A196" s="53" t="str">
        <f t="array" ref="A196">IFERROR(INDEX('Annex 2 Designated EHV charges'!$A$11:$A$58, MATCH(0, IF(ISBLANK('Annex 2 Designated EHV charges'!$A$11:$A$58),1, COUNTIF(A$4:$A195, 'Annex 2 Designated EHV charges'!$A$11:$A$58)), 0)),"")</f>
        <v/>
      </c>
      <c r="B196" s="53" t="str">
        <f>IF($A196="","",VLOOKUP($A196,'Annex 2 Designated EHV charges'!$A:$O,2,0))</f>
        <v/>
      </c>
      <c r="C196" s="61" t="str">
        <f>IF($A196="","",VLOOKUP($A196,'Annex 2 Designated EHV charges'!$A:$O,3,0))</f>
        <v/>
      </c>
      <c r="D196" s="61" t="str">
        <f>IF($A196="","",VLOOKUP($A196,'Annex 2 Designated EHV charges'!$A:$O,7,0))</f>
        <v/>
      </c>
      <c r="E196" s="62" t="str">
        <f>IFERROR(IF(VLOOKUP($A196,'Annex 2 Designated EHV charges'!$A:$P,9,FALSE)=0,"",VLOOKUP($A196,'Annex 2 Designated EHV charges'!$A:$P,9,FALSE)),"")</f>
        <v/>
      </c>
      <c r="F196" s="208" t="str">
        <f>IFERROR(IF(VLOOKUP($A196,'Annex 2 Designated EHV charges'!$A:$P,10,FALSE)=0,"",VLOOKUP($A196,'Annex 2 Designated EHV charges'!$A:$P,10,FALSE)),"")</f>
        <v/>
      </c>
      <c r="G196" s="63" t="str">
        <f>IFERROR(IF(VLOOKUP($A196,'Annex 2 Designated EHV charges'!$A:$P,11,FALSE)=0,"",VLOOKUP($A196,'Annex 2 Designated EHV charges'!$A:$P,11,FALSE)),"")</f>
        <v/>
      </c>
      <c r="H196" s="53" t="str">
        <f>IFERROR(IF(VLOOKUP($A196,'Annex 2 Designated EHV charges'!$A:$P,12,FALSE)=0,"",VLOOKUP($A196,'Annex 2 Designated EHV charges'!$A:$P,12,FALSE)),"")</f>
        <v/>
      </c>
    </row>
    <row r="197" spans="1:8" x14ac:dyDescent="0.2">
      <c r="A197" s="53" t="str">
        <f t="array" ref="A197">IFERROR(INDEX('Annex 2 Designated EHV charges'!$A$11:$A$58, MATCH(0, IF(ISBLANK('Annex 2 Designated EHV charges'!$A$11:$A$58),1, COUNTIF(A$4:$A196, 'Annex 2 Designated EHV charges'!$A$11:$A$58)), 0)),"")</f>
        <v/>
      </c>
      <c r="B197" s="53" t="str">
        <f>IF($A197="","",VLOOKUP($A197,'Annex 2 Designated EHV charges'!$A:$O,2,0))</f>
        <v/>
      </c>
      <c r="C197" s="61" t="str">
        <f>IF($A197="","",VLOOKUP($A197,'Annex 2 Designated EHV charges'!$A:$O,3,0))</f>
        <v/>
      </c>
      <c r="D197" s="61" t="str">
        <f>IF($A197="","",VLOOKUP($A197,'Annex 2 Designated EHV charges'!$A:$O,7,0))</f>
        <v/>
      </c>
      <c r="E197" s="62" t="str">
        <f>IFERROR(IF(VLOOKUP($A197,'Annex 2 Designated EHV charges'!$A:$P,9,FALSE)=0,"",VLOOKUP($A197,'Annex 2 Designated EHV charges'!$A:$P,9,FALSE)),"")</f>
        <v/>
      </c>
      <c r="F197" s="208" t="str">
        <f>IFERROR(IF(VLOOKUP($A197,'Annex 2 Designated EHV charges'!$A:$P,10,FALSE)=0,"",VLOOKUP($A197,'Annex 2 Designated EHV charges'!$A:$P,10,FALSE)),"")</f>
        <v/>
      </c>
      <c r="G197" s="63" t="str">
        <f>IFERROR(IF(VLOOKUP($A197,'Annex 2 Designated EHV charges'!$A:$P,11,FALSE)=0,"",VLOOKUP($A197,'Annex 2 Designated EHV charges'!$A:$P,11,FALSE)),"")</f>
        <v/>
      </c>
      <c r="H197" s="53" t="str">
        <f>IFERROR(IF(VLOOKUP($A197,'Annex 2 Designated EHV charges'!$A:$P,12,FALSE)=0,"",VLOOKUP($A197,'Annex 2 Designated EHV charges'!$A:$P,12,FALSE)),"")</f>
        <v/>
      </c>
    </row>
    <row r="198" spans="1:8" x14ac:dyDescent="0.2">
      <c r="A198" s="53" t="str">
        <f t="array" ref="A198">IFERROR(INDEX('Annex 2 Designated EHV charges'!$A$11:$A$58, MATCH(0, IF(ISBLANK('Annex 2 Designated EHV charges'!$A$11:$A$58),1, COUNTIF(A$4:$A197, 'Annex 2 Designated EHV charges'!$A$11:$A$58)), 0)),"")</f>
        <v/>
      </c>
      <c r="B198" s="53" t="str">
        <f>IF($A198="","",VLOOKUP($A198,'Annex 2 Designated EHV charges'!$A:$O,2,0))</f>
        <v/>
      </c>
      <c r="C198" s="61" t="str">
        <f>IF($A198="","",VLOOKUP($A198,'Annex 2 Designated EHV charges'!$A:$O,3,0))</f>
        <v/>
      </c>
      <c r="D198" s="61" t="str">
        <f>IF($A198="","",VLOOKUP($A198,'Annex 2 Designated EHV charges'!$A:$O,7,0))</f>
        <v/>
      </c>
      <c r="E198" s="62" t="str">
        <f>IFERROR(IF(VLOOKUP($A198,'Annex 2 Designated EHV charges'!$A:$P,9,FALSE)=0,"",VLOOKUP($A198,'Annex 2 Designated EHV charges'!$A:$P,9,FALSE)),"")</f>
        <v/>
      </c>
      <c r="F198" s="208" t="str">
        <f>IFERROR(IF(VLOOKUP($A198,'Annex 2 Designated EHV charges'!$A:$P,10,FALSE)=0,"",VLOOKUP($A198,'Annex 2 Designated EHV charges'!$A:$P,10,FALSE)),"")</f>
        <v/>
      </c>
      <c r="G198" s="63" t="str">
        <f>IFERROR(IF(VLOOKUP($A198,'Annex 2 Designated EHV charges'!$A:$P,11,FALSE)=0,"",VLOOKUP($A198,'Annex 2 Designated EHV charges'!$A:$P,11,FALSE)),"")</f>
        <v/>
      </c>
      <c r="H198" s="53" t="str">
        <f>IFERROR(IF(VLOOKUP($A198,'Annex 2 Designated EHV charges'!$A:$P,12,FALSE)=0,"",VLOOKUP($A198,'Annex 2 Designated EHV charges'!$A:$P,12,FALSE)),"")</f>
        <v/>
      </c>
    </row>
    <row r="199" spans="1:8" x14ac:dyDescent="0.2">
      <c r="A199" s="53" t="str">
        <f t="array" ref="A199">IFERROR(INDEX('Annex 2 Designated EHV charges'!$A$11:$A$58, MATCH(0, IF(ISBLANK('Annex 2 Designated EHV charges'!$A$11:$A$58),1, COUNTIF(A$4:$A198, 'Annex 2 Designated EHV charges'!$A$11:$A$58)), 0)),"")</f>
        <v/>
      </c>
      <c r="B199" s="53" t="str">
        <f>IF($A199="","",VLOOKUP($A199,'Annex 2 Designated EHV charges'!$A:$O,2,0))</f>
        <v/>
      </c>
      <c r="C199" s="61" t="str">
        <f>IF($A199="","",VLOOKUP($A199,'Annex 2 Designated EHV charges'!$A:$O,3,0))</f>
        <v/>
      </c>
      <c r="D199" s="61" t="str">
        <f>IF($A199="","",VLOOKUP($A199,'Annex 2 Designated EHV charges'!$A:$O,7,0))</f>
        <v/>
      </c>
      <c r="E199" s="62" t="str">
        <f>IFERROR(IF(VLOOKUP($A199,'Annex 2 Designated EHV charges'!$A:$P,9,FALSE)=0,"",VLOOKUP($A199,'Annex 2 Designated EHV charges'!$A:$P,9,FALSE)),"")</f>
        <v/>
      </c>
      <c r="F199" s="208" t="str">
        <f>IFERROR(IF(VLOOKUP($A199,'Annex 2 Designated EHV charges'!$A:$P,10,FALSE)=0,"",VLOOKUP($A199,'Annex 2 Designated EHV charges'!$A:$P,10,FALSE)),"")</f>
        <v/>
      </c>
      <c r="G199" s="63" t="str">
        <f>IFERROR(IF(VLOOKUP($A199,'Annex 2 Designated EHV charges'!$A:$P,11,FALSE)=0,"",VLOOKUP($A199,'Annex 2 Designated EHV charges'!$A:$P,11,FALSE)),"")</f>
        <v/>
      </c>
      <c r="H199" s="53" t="str">
        <f>IFERROR(IF(VLOOKUP($A199,'Annex 2 Designated EHV charges'!$A:$P,12,FALSE)=0,"",VLOOKUP($A199,'Annex 2 Designated EHV charges'!$A:$P,12,FALSE)),"")</f>
        <v/>
      </c>
    </row>
    <row r="200" spans="1:8" x14ac:dyDescent="0.2">
      <c r="A200" s="53" t="str">
        <f t="array" ref="A200">IFERROR(INDEX('Annex 2 Designated EHV charges'!$A$11:$A$58, MATCH(0, IF(ISBLANK('Annex 2 Designated EHV charges'!$A$11:$A$58),1, COUNTIF(A$4:$A199, 'Annex 2 Designated EHV charges'!$A$11:$A$58)), 0)),"")</f>
        <v/>
      </c>
      <c r="B200" s="53" t="str">
        <f>IF($A200="","",VLOOKUP($A200,'Annex 2 Designated EHV charges'!$A:$O,2,0))</f>
        <v/>
      </c>
      <c r="C200" s="61" t="str">
        <f>IF($A200="","",VLOOKUP($A200,'Annex 2 Designated EHV charges'!$A:$O,3,0))</f>
        <v/>
      </c>
      <c r="D200" s="61" t="str">
        <f>IF($A200="","",VLOOKUP($A200,'Annex 2 Designated EHV charges'!$A:$O,7,0))</f>
        <v/>
      </c>
      <c r="E200" s="62" t="str">
        <f>IFERROR(IF(VLOOKUP($A200,'Annex 2 Designated EHV charges'!$A:$P,9,FALSE)=0,"",VLOOKUP($A200,'Annex 2 Designated EHV charges'!$A:$P,9,FALSE)),"")</f>
        <v/>
      </c>
      <c r="F200" s="208" t="str">
        <f>IFERROR(IF(VLOOKUP($A200,'Annex 2 Designated EHV charges'!$A:$P,10,FALSE)=0,"",VLOOKUP($A200,'Annex 2 Designated EHV charges'!$A:$P,10,FALSE)),"")</f>
        <v/>
      </c>
      <c r="G200" s="63" t="str">
        <f>IFERROR(IF(VLOOKUP($A200,'Annex 2 Designated EHV charges'!$A:$P,11,FALSE)=0,"",VLOOKUP($A200,'Annex 2 Designated EHV charges'!$A:$P,11,FALSE)),"")</f>
        <v/>
      </c>
      <c r="H200" s="53" t="str">
        <f>IFERROR(IF(VLOOKUP($A200,'Annex 2 Designated EHV charges'!$A:$P,12,FALSE)=0,"",VLOOKUP($A200,'Annex 2 Designated EHV charges'!$A:$P,12,FALSE)),"")</f>
        <v/>
      </c>
    </row>
    <row r="201" spans="1:8" x14ac:dyDescent="0.2">
      <c r="A201" s="53" t="str">
        <f t="array" ref="A201">IFERROR(INDEX('Annex 2 Designated EHV charges'!$A$11:$A$58, MATCH(0, IF(ISBLANK('Annex 2 Designated EHV charges'!$A$11:$A$58),1, COUNTIF(A$4:$A200, 'Annex 2 Designated EHV charges'!$A$11:$A$58)), 0)),"")</f>
        <v/>
      </c>
      <c r="B201" s="53" t="str">
        <f>IF($A201="","",VLOOKUP($A201,'Annex 2 Designated EHV charges'!$A:$O,2,0))</f>
        <v/>
      </c>
      <c r="C201" s="61" t="str">
        <f>IF($A201="","",VLOOKUP($A201,'Annex 2 Designated EHV charges'!$A:$O,3,0))</f>
        <v/>
      </c>
      <c r="D201" s="61" t="str">
        <f>IF($A201="","",VLOOKUP($A201,'Annex 2 Designated EHV charges'!$A:$O,7,0))</f>
        <v/>
      </c>
      <c r="E201" s="62" t="str">
        <f>IFERROR(IF(VLOOKUP($A201,'Annex 2 Designated EHV charges'!$A:$P,9,FALSE)=0,"",VLOOKUP($A201,'Annex 2 Designated EHV charges'!$A:$P,9,FALSE)),"")</f>
        <v/>
      </c>
      <c r="F201" s="208" t="str">
        <f>IFERROR(IF(VLOOKUP($A201,'Annex 2 Designated EHV charges'!$A:$P,10,FALSE)=0,"",VLOOKUP($A201,'Annex 2 Designated EHV charges'!$A:$P,10,FALSE)),"")</f>
        <v/>
      </c>
      <c r="G201" s="63" t="str">
        <f>IFERROR(IF(VLOOKUP($A201,'Annex 2 Designated EHV charges'!$A:$P,11,FALSE)=0,"",VLOOKUP($A201,'Annex 2 Designated EHV charges'!$A:$P,11,FALSE)),"")</f>
        <v/>
      </c>
      <c r="H201" s="53" t="str">
        <f>IFERROR(IF(VLOOKUP($A201,'Annex 2 Designated EHV charges'!$A:$P,12,FALSE)=0,"",VLOOKUP($A201,'Annex 2 Designated EHV charges'!$A:$P,12,FALSE)),"")</f>
        <v/>
      </c>
    </row>
    <row r="202" spans="1:8" x14ac:dyDescent="0.2">
      <c r="A202" s="53" t="str">
        <f t="array" ref="A202">IFERROR(INDEX('Annex 2 Designated EHV charges'!$A$11:$A$58, MATCH(0, IF(ISBLANK('Annex 2 Designated EHV charges'!$A$11:$A$58),1, COUNTIF(A$4:$A201, 'Annex 2 Designated EHV charges'!$A$11:$A$58)), 0)),"")</f>
        <v/>
      </c>
      <c r="B202" s="53" t="str">
        <f>IF($A202="","",VLOOKUP($A202,'Annex 2 Designated EHV charges'!$A:$O,2,0))</f>
        <v/>
      </c>
      <c r="C202" s="61" t="str">
        <f>IF($A202="","",VLOOKUP($A202,'Annex 2 Designated EHV charges'!$A:$O,3,0))</f>
        <v/>
      </c>
      <c r="D202" s="61" t="str">
        <f>IF($A202="","",VLOOKUP($A202,'Annex 2 Designated EHV charges'!$A:$O,7,0))</f>
        <v/>
      </c>
      <c r="E202" s="62" t="str">
        <f>IFERROR(IF(VLOOKUP($A202,'Annex 2 Designated EHV charges'!$A:$P,9,FALSE)=0,"",VLOOKUP($A202,'Annex 2 Designated EHV charges'!$A:$P,9,FALSE)),"")</f>
        <v/>
      </c>
      <c r="F202" s="208" t="str">
        <f>IFERROR(IF(VLOOKUP($A202,'Annex 2 Designated EHV charges'!$A:$P,10,FALSE)=0,"",VLOOKUP($A202,'Annex 2 Designated EHV charges'!$A:$P,10,FALSE)),"")</f>
        <v/>
      </c>
      <c r="G202" s="63" t="str">
        <f>IFERROR(IF(VLOOKUP($A202,'Annex 2 Designated EHV charges'!$A:$P,11,FALSE)=0,"",VLOOKUP($A202,'Annex 2 Designated EHV charges'!$A:$P,11,FALSE)),"")</f>
        <v/>
      </c>
      <c r="H202" s="53" t="str">
        <f>IFERROR(IF(VLOOKUP($A202,'Annex 2 Designated EHV charges'!$A:$P,12,FALSE)=0,"",VLOOKUP($A202,'Annex 2 Designated EHV charges'!$A:$P,12,FALSE)),"")</f>
        <v/>
      </c>
    </row>
    <row r="203" spans="1:8" x14ac:dyDescent="0.2">
      <c r="A203" s="53" t="str">
        <f t="array" ref="A203">IFERROR(INDEX('Annex 2 Designated EHV charges'!$A$11:$A$58, MATCH(0, IF(ISBLANK('Annex 2 Designated EHV charges'!$A$11:$A$58),1, COUNTIF(A$4:$A202, 'Annex 2 Designated EHV charges'!$A$11:$A$58)), 0)),"")</f>
        <v/>
      </c>
      <c r="B203" s="53" t="str">
        <f>IF($A203="","",VLOOKUP($A203,'Annex 2 Designated EHV charges'!$A:$O,2,0))</f>
        <v/>
      </c>
      <c r="C203" s="61" t="str">
        <f>IF($A203="","",VLOOKUP($A203,'Annex 2 Designated EHV charges'!$A:$O,3,0))</f>
        <v/>
      </c>
      <c r="D203" s="61" t="str">
        <f>IF($A203="","",VLOOKUP($A203,'Annex 2 Designated EHV charges'!$A:$O,7,0))</f>
        <v/>
      </c>
      <c r="E203" s="62" t="str">
        <f>IFERROR(IF(VLOOKUP($A203,'Annex 2 Designated EHV charges'!$A:$P,9,FALSE)=0,"",VLOOKUP($A203,'Annex 2 Designated EHV charges'!$A:$P,9,FALSE)),"")</f>
        <v/>
      </c>
      <c r="F203" s="208" t="str">
        <f>IFERROR(IF(VLOOKUP($A203,'Annex 2 Designated EHV charges'!$A:$P,10,FALSE)=0,"",VLOOKUP($A203,'Annex 2 Designated EHV charges'!$A:$P,10,FALSE)),"")</f>
        <v/>
      </c>
      <c r="G203" s="63" t="str">
        <f>IFERROR(IF(VLOOKUP($A203,'Annex 2 Designated EHV charges'!$A:$P,11,FALSE)=0,"",VLOOKUP($A203,'Annex 2 Designated EHV charges'!$A:$P,11,FALSE)),"")</f>
        <v/>
      </c>
      <c r="H203" s="53" t="str">
        <f>IFERROR(IF(VLOOKUP($A203,'Annex 2 Designated EHV charges'!$A:$P,12,FALSE)=0,"",VLOOKUP($A203,'Annex 2 Designated EHV charges'!$A:$P,12,FALSE)),"")</f>
        <v/>
      </c>
    </row>
    <row r="204" spans="1:8" x14ac:dyDescent="0.2">
      <c r="A204" s="53" t="str">
        <f t="array" ref="A204">IFERROR(INDEX('Annex 2 Designated EHV charges'!$A$11:$A$58, MATCH(0, IF(ISBLANK('Annex 2 Designated EHV charges'!$A$11:$A$58),1, COUNTIF(A$4:$A203, 'Annex 2 Designated EHV charges'!$A$11:$A$58)), 0)),"")</f>
        <v/>
      </c>
      <c r="B204" s="53" t="str">
        <f>IF($A204="","",VLOOKUP($A204,'Annex 2 Designated EHV charges'!$A:$O,2,0))</f>
        <v/>
      </c>
      <c r="C204" s="61" t="str">
        <f>IF($A204="","",VLOOKUP($A204,'Annex 2 Designated EHV charges'!$A:$O,3,0))</f>
        <v/>
      </c>
      <c r="D204" s="61" t="str">
        <f>IF($A204="","",VLOOKUP($A204,'Annex 2 Designated EHV charges'!$A:$O,7,0))</f>
        <v/>
      </c>
      <c r="E204" s="62" t="str">
        <f>IFERROR(IF(VLOOKUP($A204,'Annex 2 Designated EHV charges'!$A:$P,9,FALSE)=0,"",VLOOKUP($A204,'Annex 2 Designated EHV charges'!$A:$P,9,FALSE)),"")</f>
        <v/>
      </c>
      <c r="F204" s="208" t="str">
        <f>IFERROR(IF(VLOOKUP($A204,'Annex 2 Designated EHV charges'!$A:$P,10,FALSE)=0,"",VLOOKUP($A204,'Annex 2 Designated EHV charges'!$A:$P,10,FALSE)),"")</f>
        <v/>
      </c>
      <c r="G204" s="63" t="str">
        <f>IFERROR(IF(VLOOKUP($A204,'Annex 2 Designated EHV charges'!$A:$P,11,FALSE)=0,"",VLOOKUP($A204,'Annex 2 Designated EHV charges'!$A:$P,11,FALSE)),"")</f>
        <v/>
      </c>
      <c r="H204" s="53" t="str">
        <f>IFERROR(IF(VLOOKUP($A204,'Annex 2 Designated EHV charges'!$A:$P,12,FALSE)=0,"",VLOOKUP($A204,'Annex 2 Designated EHV charges'!$A:$P,12,FALSE)),"")</f>
        <v/>
      </c>
    </row>
    <row r="205" spans="1:8" x14ac:dyDescent="0.2">
      <c r="A205" s="53" t="str">
        <f t="array" ref="A205">IFERROR(INDEX('Annex 2 Designated EHV charges'!$A$11:$A$58, MATCH(0, IF(ISBLANK('Annex 2 Designated EHV charges'!$A$11:$A$58),1, COUNTIF(A$4:$A204, 'Annex 2 Designated EHV charges'!$A$11:$A$58)), 0)),"")</f>
        <v/>
      </c>
      <c r="B205" s="53" t="str">
        <f>IF($A205="","",VLOOKUP($A205,'Annex 2 Designated EHV charges'!$A:$O,2,0))</f>
        <v/>
      </c>
      <c r="C205" s="61" t="str">
        <f>IF($A205="","",VLOOKUP($A205,'Annex 2 Designated EHV charges'!$A:$O,3,0))</f>
        <v/>
      </c>
      <c r="D205" s="61" t="str">
        <f>IF($A205="","",VLOOKUP($A205,'Annex 2 Designated EHV charges'!$A:$O,7,0))</f>
        <v/>
      </c>
      <c r="E205" s="62" t="str">
        <f>IFERROR(IF(VLOOKUP($A205,'Annex 2 Designated EHV charges'!$A:$P,9,FALSE)=0,"",VLOOKUP($A205,'Annex 2 Designated EHV charges'!$A:$P,9,FALSE)),"")</f>
        <v/>
      </c>
      <c r="F205" s="208" t="str">
        <f>IFERROR(IF(VLOOKUP($A205,'Annex 2 Designated EHV charges'!$A:$P,10,FALSE)=0,"",VLOOKUP($A205,'Annex 2 Designated EHV charges'!$A:$P,10,FALSE)),"")</f>
        <v/>
      </c>
      <c r="G205" s="63" t="str">
        <f>IFERROR(IF(VLOOKUP($A205,'Annex 2 Designated EHV charges'!$A:$P,11,FALSE)=0,"",VLOOKUP($A205,'Annex 2 Designated EHV charges'!$A:$P,11,FALSE)),"")</f>
        <v/>
      </c>
      <c r="H205" s="53" t="str">
        <f>IFERROR(IF(VLOOKUP($A205,'Annex 2 Designated EHV charges'!$A:$P,12,FALSE)=0,"",VLOOKUP($A205,'Annex 2 Designated EHV charges'!$A:$P,12,FALSE)),"")</f>
        <v/>
      </c>
    </row>
    <row r="206" spans="1:8" x14ac:dyDescent="0.2">
      <c r="A206" s="53" t="str">
        <f t="array" ref="A206">IFERROR(INDEX('Annex 2 Designated EHV charges'!$A$11:$A$58, MATCH(0, IF(ISBLANK('Annex 2 Designated EHV charges'!$A$11:$A$58),1, COUNTIF(A$4:$A205, 'Annex 2 Designated EHV charges'!$A$11:$A$58)), 0)),"")</f>
        <v/>
      </c>
      <c r="B206" s="53" t="str">
        <f>IF($A206="","",VLOOKUP($A206,'Annex 2 Designated EHV charges'!$A:$O,2,0))</f>
        <v/>
      </c>
      <c r="C206" s="61" t="str">
        <f>IF($A206="","",VLOOKUP($A206,'Annex 2 Designated EHV charges'!$A:$O,3,0))</f>
        <v/>
      </c>
      <c r="D206" s="61" t="str">
        <f>IF($A206="","",VLOOKUP($A206,'Annex 2 Designated EHV charges'!$A:$O,7,0))</f>
        <v/>
      </c>
      <c r="E206" s="62" t="str">
        <f>IFERROR(IF(VLOOKUP($A206,'Annex 2 Designated EHV charges'!$A:$P,9,FALSE)=0,"",VLOOKUP($A206,'Annex 2 Designated EHV charges'!$A:$P,9,FALSE)),"")</f>
        <v/>
      </c>
      <c r="F206" s="208" t="str">
        <f>IFERROR(IF(VLOOKUP($A206,'Annex 2 Designated EHV charges'!$A:$P,10,FALSE)=0,"",VLOOKUP($A206,'Annex 2 Designated EHV charges'!$A:$P,10,FALSE)),"")</f>
        <v/>
      </c>
      <c r="G206" s="63" t="str">
        <f>IFERROR(IF(VLOOKUP($A206,'Annex 2 Designated EHV charges'!$A:$P,11,FALSE)=0,"",VLOOKUP($A206,'Annex 2 Designated EHV charges'!$A:$P,11,FALSE)),"")</f>
        <v/>
      </c>
      <c r="H206" s="53" t="str">
        <f>IFERROR(IF(VLOOKUP($A206,'Annex 2 Designated EHV charges'!$A:$P,12,FALSE)=0,"",VLOOKUP($A206,'Annex 2 Designated EHV charges'!$A:$P,12,FALSE)),"")</f>
        <v/>
      </c>
    </row>
    <row r="207" spans="1:8" x14ac:dyDescent="0.2">
      <c r="A207" s="53" t="str">
        <f t="array" ref="A207">IFERROR(INDEX('Annex 2 Designated EHV charges'!$A$11:$A$58, MATCH(0, IF(ISBLANK('Annex 2 Designated EHV charges'!$A$11:$A$58),1, COUNTIF(A$4:$A206, 'Annex 2 Designated EHV charges'!$A$11:$A$58)), 0)),"")</f>
        <v/>
      </c>
      <c r="B207" s="53" t="str">
        <f>IF($A207="","",VLOOKUP($A207,'Annex 2 Designated EHV charges'!$A:$O,2,0))</f>
        <v/>
      </c>
      <c r="C207" s="61" t="str">
        <f>IF($A207="","",VLOOKUP($A207,'Annex 2 Designated EHV charges'!$A:$O,3,0))</f>
        <v/>
      </c>
      <c r="D207" s="61" t="str">
        <f>IF($A207="","",VLOOKUP($A207,'Annex 2 Designated EHV charges'!$A:$O,7,0))</f>
        <v/>
      </c>
      <c r="E207" s="62" t="str">
        <f>IFERROR(IF(VLOOKUP($A207,'Annex 2 Designated EHV charges'!$A:$P,9,FALSE)=0,"",VLOOKUP($A207,'Annex 2 Designated EHV charges'!$A:$P,9,FALSE)),"")</f>
        <v/>
      </c>
      <c r="F207" s="208" t="str">
        <f>IFERROR(IF(VLOOKUP($A207,'Annex 2 Designated EHV charges'!$A:$P,10,FALSE)=0,"",VLOOKUP($A207,'Annex 2 Designated EHV charges'!$A:$P,10,FALSE)),"")</f>
        <v/>
      </c>
      <c r="G207" s="63" t="str">
        <f>IFERROR(IF(VLOOKUP($A207,'Annex 2 Designated EHV charges'!$A:$P,11,FALSE)=0,"",VLOOKUP($A207,'Annex 2 Designated EHV charges'!$A:$P,11,FALSE)),"")</f>
        <v/>
      </c>
      <c r="H207" s="53" t="str">
        <f>IFERROR(IF(VLOOKUP($A207,'Annex 2 Designated EHV charges'!$A:$P,12,FALSE)=0,"",VLOOKUP($A207,'Annex 2 Designated EHV charges'!$A:$P,12,FALSE)),"")</f>
        <v/>
      </c>
    </row>
    <row r="208" spans="1:8" x14ac:dyDescent="0.2">
      <c r="A208" s="53" t="str">
        <f t="array" ref="A208">IFERROR(INDEX('Annex 2 Designated EHV charges'!$A$11:$A$58, MATCH(0, IF(ISBLANK('Annex 2 Designated EHV charges'!$A$11:$A$58),1, COUNTIF(A$4:$A207, 'Annex 2 Designated EHV charges'!$A$11:$A$58)), 0)),"")</f>
        <v/>
      </c>
      <c r="B208" s="53" t="str">
        <f>IF($A208="","",VLOOKUP($A208,'Annex 2 Designated EHV charges'!$A:$O,2,0))</f>
        <v/>
      </c>
      <c r="C208" s="61" t="str">
        <f>IF($A208="","",VLOOKUP($A208,'Annex 2 Designated EHV charges'!$A:$O,3,0))</f>
        <v/>
      </c>
      <c r="D208" s="61" t="str">
        <f>IF($A208="","",VLOOKUP($A208,'Annex 2 Designated EHV charges'!$A:$O,7,0))</f>
        <v/>
      </c>
      <c r="E208" s="62" t="str">
        <f>IFERROR(IF(VLOOKUP($A208,'Annex 2 Designated EHV charges'!$A:$P,9,FALSE)=0,"",VLOOKUP($A208,'Annex 2 Designated EHV charges'!$A:$P,9,FALSE)),"")</f>
        <v/>
      </c>
      <c r="F208" s="208" t="str">
        <f>IFERROR(IF(VLOOKUP($A208,'Annex 2 Designated EHV charges'!$A:$P,10,FALSE)=0,"",VLOOKUP($A208,'Annex 2 Designated EHV charges'!$A:$P,10,FALSE)),"")</f>
        <v/>
      </c>
      <c r="G208" s="63" t="str">
        <f>IFERROR(IF(VLOOKUP($A208,'Annex 2 Designated EHV charges'!$A:$P,11,FALSE)=0,"",VLOOKUP($A208,'Annex 2 Designated EHV charges'!$A:$P,11,FALSE)),"")</f>
        <v/>
      </c>
      <c r="H208" s="53" t="str">
        <f>IFERROR(IF(VLOOKUP($A208,'Annex 2 Designated EHV charges'!$A:$P,12,FALSE)=0,"",VLOOKUP($A208,'Annex 2 Designated EHV charges'!$A:$P,12,FALSE)),"")</f>
        <v/>
      </c>
    </row>
    <row r="209" spans="1:8" x14ac:dyDescent="0.2">
      <c r="A209" s="53" t="str">
        <f t="array" ref="A209">IFERROR(INDEX('Annex 2 Designated EHV charges'!$A$11:$A$58, MATCH(0, IF(ISBLANK('Annex 2 Designated EHV charges'!$A$11:$A$58),1, COUNTIF(A$4:$A208, 'Annex 2 Designated EHV charges'!$A$11:$A$58)), 0)),"")</f>
        <v/>
      </c>
      <c r="B209" s="53" t="str">
        <f>IF($A209="","",VLOOKUP($A209,'Annex 2 Designated EHV charges'!$A:$O,2,0))</f>
        <v/>
      </c>
      <c r="C209" s="61" t="str">
        <f>IF($A209="","",VLOOKUP($A209,'Annex 2 Designated EHV charges'!$A:$O,3,0))</f>
        <v/>
      </c>
      <c r="D209" s="61" t="str">
        <f>IF($A209="","",VLOOKUP($A209,'Annex 2 Designated EHV charges'!$A:$O,7,0))</f>
        <v/>
      </c>
      <c r="E209" s="62" t="str">
        <f>IFERROR(IF(VLOOKUP($A209,'Annex 2 Designated EHV charges'!$A:$P,9,FALSE)=0,"",VLOOKUP($A209,'Annex 2 Designated EHV charges'!$A:$P,9,FALSE)),"")</f>
        <v/>
      </c>
      <c r="F209" s="208" t="str">
        <f>IFERROR(IF(VLOOKUP($A209,'Annex 2 Designated EHV charges'!$A:$P,10,FALSE)=0,"",VLOOKUP($A209,'Annex 2 Designated EHV charges'!$A:$P,10,FALSE)),"")</f>
        <v/>
      </c>
      <c r="G209" s="63" t="str">
        <f>IFERROR(IF(VLOOKUP($A209,'Annex 2 Designated EHV charges'!$A:$P,11,FALSE)=0,"",VLOOKUP($A209,'Annex 2 Designated EHV charges'!$A:$P,11,FALSE)),"")</f>
        <v/>
      </c>
      <c r="H209" s="53" t="str">
        <f>IFERROR(IF(VLOOKUP($A209,'Annex 2 Designated EHV charges'!$A:$P,12,FALSE)=0,"",VLOOKUP($A209,'Annex 2 Designated EHV charges'!$A:$P,12,FALSE)),"")</f>
        <v/>
      </c>
    </row>
    <row r="210" spans="1:8" x14ac:dyDescent="0.2">
      <c r="A210" s="53" t="str">
        <f t="array" ref="A210">IFERROR(INDEX('Annex 2 Designated EHV charges'!$A$11:$A$58, MATCH(0, IF(ISBLANK('Annex 2 Designated EHV charges'!$A$11:$A$58),1, COUNTIF(A$4:$A209, 'Annex 2 Designated EHV charges'!$A$11:$A$58)), 0)),"")</f>
        <v/>
      </c>
      <c r="B210" s="53" t="str">
        <f>IF($A210="","",VLOOKUP($A210,'Annex 2 Designated EHV charges'!$A:$O,2,0))</f>
        <v/>
      </c>
      <c r="C210" s="61" t="str">
        <f>IF($A210="","",VLOOKUP($A210,'Annex 2 Designated EHV charges'!$A:$O,3,0))</f>
        <v/>
      </c>
      <c r="D210" s="61" t="str">
        <f>IF($A210="","",VLOOKUP($A210,'Annex 2 Designated EHV charges'!$A:$O,7,0))</f>
        <v/>
      </c>
      <c r="E210" s="62" t="str">
        <f>IFERROR(IF(VLOOKUP($A210,'Annex 2 Designated EHV charges'!$A:$P,9,FALSE)=0,"",VLOOKUP($A210,'Annex 2 Designated EHV charges'!$A:$P,9,FALSE)),"")</f>
        <v/>
      </c>
      <c r="F210" s="208" t="str">
        <f>IFERROR(IF(VLOOKUP($A210,'Annex 2 Designated EHV charges'!$A:$P,10,FALSE)=0,"",VLOOKUP($A210,'Annex 2 Designated EHV charges'!$A:$P,10,FALSE)),"")</f>
        <v/>
      </c>
      <c r="G210" s="63" t="str">
        <f>IFERROR(IF(VLOOKUP($A210,'Annex 2 Designated EHV charges'!$A:$P,11,FALSE)=0,"",VLOOKUP($A210,'Annex 2 Designated EHV charges'!$A:$P,11,FALSE)),"")</f>
        <v/>
      </c>
      <c r="H210" s="53" t="str">
        <f>IFERROR(IF(VLOOKUP($A210,'Annex 2 Designated EHV charges'!$A:$P,12,FALSE)=0,"",VLOOKUP($A210,'Annex 2 Designated EHV charges'!$A:$P,12,FALSE)),"")</f>
        <v/>
      </c>
    </row>
    <row r="211" spans="1:8" x14ac:dyDescent="0.2">
      <c r="A211" s="53" t="str">
        <f t="array" ref="A211">IFERROR(INDEX('Annex 2 Designated EHV charges'!$A$11:$A$58, MATCH(0, IF(ISBLANK('Annex 2 Designated EHV charges'!$A$11:$A$58),1, COUNTIF(A$4:$A210, 'Annex 2 Designated EHV charges'!$A$11:$A$58)), 0)),"")</f>
        <v/>
      </c>
      <c r="B211" s="53" t="str">
        <f>IF($A211="","",VLOOKUP($A211,'Annex 2 Designated EHV charges'!$A:$O,2,0))</f>
        <v/>
      </c>
      <c r="C211" s="61" t="str">
        <f>IF($A211="","",VLOOKUP($A211,'Annex 2 Designated EHV charges'!$A:$O,3,0))</f>
        <v/>
      </c>
      <c r="D211" s="61" t="str">
        <f>IF($A211="","",VLOOKUP($A211,'Annex 2 Designated EHV charges'!$A:$O,7,0))</f>
        <v/>
      </c>
      <c r="E211" s="62" t="str">
        <f>IFERROR(IF(VLOOKUP($A211,'Annex 2 Designated EHV charges'!$A:$P,9,FALSE)=0,"",VLOOKUP($A211,'Annex 2 Designated EHV charges'!$A:$P,9,FALSE)),"")</f>
        <v/>
      </c>
      <c r="F211" s="208" t="str">
        <f>IFERROR(IF(VLOOKUP($A211,'Annex 2 Designated EHV charges'!$A:$P,10,FALSE)=0,"",VLOOKUP($A211,'Annex 2 Designated EHV charges'!$A:$P,10,FALSE)),"")</f>
        <v/>
      </c>
      <c r="G211" s="63" t="str">
        <f>IFERROR(IF(VLOOKUP($A211,'Annex 2 Designated EHV charges'!$A:$P,11,FALSE)=0,"",VLOOKUP($A211,'Annex 2 Designated EHV charges'!$A:$P,11,FALSE)),"")</f>
        <v/>
      </c>
      <c r="H211" s="53" t="str">
        <f>IFERROR(IF(VLOOKUP($A211,'Annex 2 Designated EHV charges'!$A:$P,12,FALSE)=0,"",VLOOKUP($A211,'Annex 2 Designated EHV charges'!$A:$P,12,FALSE)),"")</f>
        <v/>
      </c>
    </row>
    <row r="212" spans="1:8" x14ac:dyDescent="0.2">
      <c r="A212" s="53" t="str">
        <f t="array" ref="A212">IFERROR(INDEX('Annex 2 Designated EHV charges'!$A$11:$A$58, MATCH(0, IF(ISBLANK('Annex 2 Designated EHV charges'!$A$11:$A$58),1, COUNTIF(A$4:$A211, 'Annex 2 Designated EHV charges'!$A$11:$A$58)), 0)),"")</f>
        <v/>
      </c>
      <c r="B212" s="53" t="str">
        <f>IF($A212="","",VLOOKUP($A212,'Annex 2 Designated EHV charges'!$A:$O,2,0))</f>
        <v/>
      </c>
      <c r="C212" s="61" t="str">
        <f>IF($A212="","",VLOOKUP($A212,'Annex 2 Designated EHV charges'!$A:$O,3,0))</f>
        <v/>
      </c>
      <c r="D212" s="61" t="str">
        <f>IF($A212="","",VLOOKUP($A212,'Annex 2 Designated EHV charges'!$A:$O,7,0))</f>
        <v/>
      </c>
      <c r="E212" s="62" t="str">
        <f>IFERROR(IF(VLOOKUP($A212,'Annex 2 Designated EHV charges'!$A:$P,9,FALSE)=0,"",VLOOKUP($A212,'Annex 2 Designated EHV charges'!$A:$P,9,FALSE)),"")</f>
        <v/>
      </c>
      <c r="F212" s="208" t="str">
        <f>IFERROR(IF(VLOOKUP($A212,'Annex 2 Designated EHV charges'!$A:$P,10,FALSE)=0,"",VLOOKUP($A212,'Annex 2 Designated EHV charges'!$A:$P,10,FALSE)),"")</f>
        <v/>
      </c>
      <c r="G212" s="63" t="str">
        <f>IFERROR(IF(VLOOKUP($A212,'Annex 2 Designated EHV charges'!$A:$P,11,FALSE)=0,"",VLOOKUP($A212,'Annex 2 Designated EHV charges'!$A:$P,11,FALSE)),"")</f>
        <v/>
      </c>
      <c r="H212" s="53" t="str">
        <f>IFERROR(IF(VLOOKUP($A212,'Annex 2 Designated EHV charges'!$A:$P,12,FALSE)=0,"",VLOOKUP($A212,'Annex 2 Designated EHV charges'!$A:$P,12,FALSE)),"")</f>
        <v/>
      </c>
    </row>
    <row r="213" spans="1:8" x14ac:dyDescent="0.2">
      <c r="A213" s="53" t="str">
        <f t="array" ref="A213">IFERROR(INDEX('Annex 2 Designated EHV charges'!$A$11:$A$58, MATCH(0, IF(ISBLANK('Annex 2 Designated EHV charges'!$A$11:$A$58),1, COUNTIF(A$4:$A212, 'Annex 2 Designated EHV charges'!$A$11:$A$58)), 0)),"")</f>
        <v/>
      </c>
      <c r="B213" s="53" t="str">
        <f>IF($A213="","",VLOOKUP($A213,'Annex 2 Designated EHV charges'!$A:$O,2,0))</f>
        <v/>
      </c>
      <c r="C213" s="61" t="str">
        <f>IF($A213="","",VLOOKUP($A213,'Annex 2 Designated EHV charges'!$A:$O,3,0))</f>
        <v/>
      </c>
      <c r="D213" s="61" t="str">
        <f>IF($A213="","",VLOOKUP($A213,'Annex 2 Designated EHV charges'!$A:$O,7,0))</f>
        <v/>
      </c>
      <c r="E213" s="62" t="str">
        <f>IFERROR(IF(VLOOKUP($A213,'Annex 2 Designated EHV charges'!$A:$P,9,FALSE)=0,"",VLOOKUP($A213,'Annex 2 Designated EHV charges'!$A:$P,9,FALSE)),"")</f>
        <v/>
      </c>
      <c r="F213" s="208" t="str">
        <f>IFERROR(IF(VLOOKUP($A213,'Annex 2 Designated EHV charges'!$A:$P,10,FALSE)=0,"",VLOOKUP($A213,'Annex 2 Designated EHV charges'!$A:$P,10,FALSE)),"")</f>
        <v/>
      </c>
      <c r="G213" s="63" t="str">
        <f>IFERROR(IF(VLOOKUP($A213,'Annex 2 Designated EHV charges'!$A:$P,11,FALSE)=0,"",VLOOKUP($A213,'Annex 2 Designated EHV charges'!$A:$P,11,FALSE)),"")</f>
        <v/>
      </c>
      <c r="H213" s="53" t="str">
        <f>IFERROR(IF(VLOOKUP($A213,'Annex 2 Designated EHV charges'!$A:$P,12,FALSE)=0,"",VLOOKUP($A213,'Annex 2 Designated EHV charges'!$A:$P,12,FALSE)),"")</f>
        <v/>
      </c>
    </row>
    <row r="214" spans="1:8" x14ac:dyDescent="0.2">
      <c r="A214" s="53" t="str">
        <f t="array" ref="A214">IFERROR(INDEX('Annex 2 Designated EHV charges'!$A$11:$A$58, MATCH(0, IF(ISBLANK('Annex 2 Designated EHV charges'!$A$11:$A$58),1, COUNTIF(A$4:$A213, 'Annex 2 Designated EHV charges'!$A$11:$A$58)), 0)),"")</f>
        <v/>
      </c>
      <c r="B214" s="53" t="str">
        <f>IF($A214="","",VLOOKUP($A214,'Annex 2 Designated EHV charges'!$A:$O,2,0))</f>
        <v/>
      </c>
      <c r="C214" s="61" t="str">
        <f>IF($A214="","",VLOOKUP($A214,'Annex 2 Designated EHV charges'!$A:$O,3,0))</f>
        <v/>
      </c>
      <c r="D214" s="61" t="str">
        <f>IF($A214="","",VLOOKUP($A214,'Annex 2 Designated EHV charges'!$A:$O,7,0))</f>
        <v/>
      </c>
      <c r="E214" s="62" t="str">
        <f>IFERROR(IF(VLOOKUP($A214,'Annex 2 Designated EHV charges'!$A:$P,9,FALSE)=0,"",VLOOKUP($A214,'Annex 2 Designated EHV charges'!$A:$P,9,FALSE)),"")</f>
        <v/>
      </c>
      <c r="F214" s="208" t="str">
        <f>IFERROR(IF(VLOOKUP($A214,'Annex 2 Designated EHV charges'!$A:$P,10,FALSE)=0,"",VLOOKUP($A214,'Annex 2 Designated EHV charges'!$A:$P,10,FALSE)),"")</f>
        <v/>
      </c>
      <c r="G214" s="63" t="str">
        <f>IFERROR(IF(VLOOKUP($A214,'Annex 2 Designated EHV charges'!$A:$P,11,FALSE)=0,"",VLOOKUP($A214,'Annex 2 Designated EHV charges'!$A:$P,11,FALSE)),"")</f>
        <v/>
      </c>
      <c r="H214" s="53" t="str">
        <f>IFERROR(IF(VLOOKUP($A214,'Annex 2 Designated EHV charges'!$A:$P,12,FALSE)=0,"",VLOOKUP($A214,'Annex 2 Designated EHV charges'!$A:$P,12,FALSE)),"")</f>
        <v/>
      </c>
    </row>
    <row r="215" spans="1:8" x14ac:dyDescent="0.2">
      <c r="A215" s="53" t="str">
        <f t="array" ref="A215">IFERROR(INDEX('Annex 2 Designated EHV charges'!$A$11:$A$58, MATCH(0, IF(ISBLANK('Annex 2 Designated EHV charges'!$A$11:$A$58),1, COUNTIF(A$4:$A214, 'Annex 2 Designated EHV charges'!$A$11:$A$58)), 0)),"")</f>
        <v/>
      </c>
      <c r="B215" s="53" t="str">
        <f>IF($A215="","",VLOOKUP($A215,'Annex 2 Designated EHV charges'!$A:$O,2,0))</f>
        <v/>
      </c>
      <c r="C215" s="61" t="str">
        <f>IF($A215="","",VLOOKUP($A215,'Annex 2 Designated EHV charges'!$A:$O,3,0))</f>
        <v/>
      </c>
      <c r="D215" s="61" t="str">
        <f>IF($A215="","",VLOOKUP($A215,'Annex 2 Designated EHV charges'!$A:$O,7,0))</f>
        <v/>
      </c>
      <c r="E215" s="62" t="str">
        <f>IFERROR(IF(VLOOKUP($A215,'Annex 2 Designated EHV charges'!$A:$P,9,FALSE)=0,"",VLOOKUP($A215,'Annex 2 Designated EHV charges'!$A:$P,9,FALSE)),"")</f>
        <v/>
      </c>
      <c r="F215" s="208" t="str">
        <f>IFERROR(IF(VLOOKUP($A215,'Annex 2 Designated EHV charges'!$A:$P,10,FALSE)=0,"",VLOOKUP($A215,'Annex 2 Designated EHV charges'!$A:$P,10,FALSE)),"")</f>
        <v/>
      </c>
      <c r="G215" s="63" t="str">
        <f>IFERROR(IF(VLOOKUP($A215,'Annex 2 Designated EHV charges'!$A:$P,11,FALSE)=0,"",VLOOKUP($A215,'Annex 2 Designated EHV charges'!$A:$P,11,FALSE)),"")</f>
        <v/>
      </c>
      <c r="H215" s="53" t="str">
        <f>IFERROR(IF(VLOOKUP($A215,'Annex 2 Designated EHV charges'!$A:$P,12,FALSE)=0,"",VLOOKUP($A215,'Annex 2 Designated EHV charges'!$A:$P,12,FALSE)),"")</f>
        <v/>
      </c>
    </row>
    <row r="216" spans="1:8" x14ac:dyDescent="0.2">
      <c r="A216" s="53" t="str">
        <f t="array" ref="A216">IFERROR(INDEX('Annex 2 Designated EHV charges'!$A$11:$A$58, MATCH(0, IF(ISBLANK('Annex 2 Designated EHV charges'!$A$11:$A$58),1, COUNTIF(A$4:$A215, 'Annex 2 Designated EHV charges'!$A$11:$A$58)), 0)),"")</f>
        <v/>
      </c>
      <c r="B216" s="53" t="str">
        <f>IF($A216="","",VLOOKUP($A216,'Annex 2 Designated EHV charges'!$A:$O,2,0))</f>
        <v/>
      </c>
      <c r="C216" s="61" t="str">
        <f>IF($A216="","",VLOOKUP($A216,'Annex 2 Designated EHV charges'!$A:$O,3,0))</f>
        <v/>
      </c>
      <c r="D216" s="61" t="str">
        <f>IF($A216="","",VLOOKUP($A216,'Annex 2 Designated EHV charges'!$A:$O,7,0))</f>
        <v/>
      </c>
      <c r="E216" s="62" t="str">
        <f>IFERROR(IF(VLOOKUP($A216,'Annex 2 Designated EHV charges'!$A:$P,9,FALSE)=0,"",VLOOKUP($A216,'Annex 2 Designated EHV charges'!$A:$P,9,FALSE)),"")</f>
        <v/>
      </c>
      <c r="F216" s="208" t="str">
        <f>IFERROR(IF(VLOOKUP($A216,'Annex 2 Designated EHV charges'!$A:$P,10,FALSE)=0,"",VLOOKUP($A216,'Annex 2 Designated EHV charges'!$A:$P,10,FALSE)),"")</f>
        <v/>
      </c>
      <c r="G216" s="63" t="str">
        <f>IFERROR(IF(VLOOKUP($A216,'Annex 2 Designated EHV charges'!$A:$P,11,FALSE)=0,"",VLOOKUP($A216,'Annex 2 Designated EHV charges'!$A:$P,11,FALSE)),"")</f>
        <v/>
      </c>
      <c r="H216" s="53" t="str">
        <f>IFERROR(IF(VLOOKUP($A216,'Annex 2 Designated EHV charges'!$A:$P,12,FALSE)=0,"",VLOOKUP($A216,'Annex 2 Designated EHV charges'!$A:$P,12,FALSE)),"")</f>
        <v/>
      </c>
    </row>
    <row r="217" spans="1:8" x14ac:dyDescent="0.2">
      <c r="A217" s="53" t="str">
        <f t="array" ref="A217">IFERROR(INDEX('Annex 2 Designated EHV charges'!$A$11:$A$58, MATCH(0, IF(ISBLANK('Annex 2 Designated EHV charges'!$A$11:$A$58),1, COUNTIF(A$4:$A216, 'Annex 2 Designated EHV charges'!$A$11:$A$58)), 0)),"")</f>
        <v/>
      </c>
      <c r="B217" s="53" t="str">
        <f>IF($A217="","",VLOOKUP($A217,'Annex 2 Designated EHV charges'!$A:$O,2,0))</f>
        <v/>
      </c>
      <c r="C217" s="61" t="str">
        <f>IF($A217="","",VLOOKUP($A217,'Annex 2 Designated EHV charges'!$A:$O,3,0))</f>
        <v/>
      </c>
      <c r="D217" s="61" t="str">
        <f>IF($A217="","",VLOOKUP($A217,'Annex 2 Designated EHV charges'!$A:$O,7,0))</f>
        <v/>
      </c>
      <c r="E217" s="62" t="str">
        <f>IFERROR(IF(VLOOKUP($A217,'Annex 2 Designated EHV charges'!$A:$P,9,FALSE)=0,"",VLOOKUP($A217,'Annex 2 Designated EHV charges'!$A:$P,9,FALSE)),"")</f>
        <v/>
      </c>
      <c r="F217" s="208" t="str">
        <f>IFERROR(IF(VLOOKUP($A217,'Annex 2 Designated EHV charges'!$A:$P,10,FALSE)=0,"",VLOOKUP($A217,'Annex 2 Designated EHV charges'!$A:$P,10,FALSE)),"")</f>
        <v/>
      </c>
      <c r="G217" s="63" t="str">
        <f>IFERROR(IF(VLOOKUP($A217,'Annex 2 Designated EHV charges'!$A:$P,11,FALSE)=0,"",VLOOKUP($A217,'Annex 2 Designated EHV charges'!$A:$P,11,FALSE)),"")</f>
        <v/>
      </c>
      <c r="H217" s="53" t="str">
        <f>IFERROR(IF(VLOOKUP($A217,'Annex 2 Designated EHV charges'!$A:$P,12,FALSE)=0,"",VLOOKUP($A217,'Annex 2 Designated EHV charges'!$A:$P,12,FALSE)),"")</f>
        <v/>
      </c>
    </row>
    <row r="218" spans="1:8" x14ac:dyDescent="0.2">
      <c r="A218" s="53" t="str">
        <f t="array" ref="A218">IFERROR(INDEX('Annex 2 Designated EHV charges'!$A$11:$A$58, MATCH(0, IF(ISBLANK('Annex 2 Designated EHV charges'!$A$11:$A$58),1, COUNTIF(A$4:$A217, 'Annex 2 Designated EHV charges'!$A$11:$A$58)), 0)),"")</f>
        <v/>
      </c>
      <c r="B218" s="53" t="str">
        <f>IF($A218="","",VLOOKUP($A218,'Annex 2 Designated EHV charges'!$A:$O,2,0))</f>
        <v/>
      </c>
      <c r="C218" s="61" t="str">
        <f>IF($A218="","",VLOOKUP($A218,'Annex 2 Designated EHV charges'!$A:$O,3,0))</f>
        <v/>
      </c>
      <c r="D218" s="61" t="str">
        <f>IF($A218="","",VLOOKUP($A218,'Annex 2 Designated EHV charges'!$A:$O,7,0))</f>
        <v/>
      </c>
      <c r="E218" s="62" t="str">
        <f>IFERROR(IF(VLOOKUP($A218,'Annex 2 Designated EHV charges'!$A:$P,9,FALSE)=0,"",VLOOKUP($A218,'Annex 2 Designated EHV charges'!$A:$P,9,FALSE)),"")</f>
        <v/>
      </c>
      <c r="F218" s="208" t="str">
        <f>IFERROR(IF(VLOOKUP($A218,'Annex 2 Designated EHV charges'!$A:$P,10,FALSE)=0,"",VLOOKUP($A218,'Annex 2 Designated EHV charges'!$A:$P,10,FALSE)),"")</f>
        <v/>
      </c>
      <c r="G218" s="63" t="str">
        <f>IFERROR(IF(VLOOKUP($A218,'Annex 2 Designated EHV charges'!$A:$P,11,FALSE)=0,"",VLOOKUP($A218,'Annex 2 Designated EHV charges'!$A:$P,11,FALSE)),"")</f>
        <v/>
      </c>
      <c r="H218" s="53" t="str">
        <f>IFERROR(IF(VLOOKUP($A218,'Annex 2 Designated EHV charges'!$A:$P,12,FALSE)=0,"",VLOOKUP($A218,'Annex 2 Designated EHV charges'!$A:$P,12,FALSE)),"")</f>
        <v/>
      </c>
    </row>
    <row r="219" spans="1:8" x14ac:dyDescent="0.2">
      <c r="A219" s="53" t="str">
        <f t="array" ref="A219">IFERROR(INDEX('Annex 2 Designated EHV charges'!$A$11:$A$58, MATCH(0, IF(ISBLANK('Annex 2 Designated EHV charges'!$A$11:$A$58),1, COUNTIF(A$4:$A218, 'Annex 2 Designated EHV charges'!$A$11:$A$58)), 0)),"")</f>
        <v/>
      </c>
      <c r="B219" s="53" t="str">
        <f>IF($A219="","",VLOOKUP($A219,'Annex 2 Designated EHV charges'!$A:$O,2,0))</f>
        <v/>
      </c>
      <c r="C219" s="61" t="str">
        <f>IF($A219="","",VLOOKUP($A219,'Annex 2 Designated EHV charges'!$A:$O,3,0))</f>
        <v/>
      </c>
      <c r="D219" s="61" t="str">
        <f>IF($A219="","",VLOOKUP($A219,'Annex 2 Designated EHV charges'!$A:$O,7,0))</f>
        <v/>
      </c>
      <c r="E219" s="62" t="str">
        <f>IFERROR(IF(VLOOKUP($A219,'Annex 2 Designated EHV charges'!$A:$P,9,FALSE)=0,"",VLOOKUP($A219,'Annex 2 Designated EHV charges'!$A:$P,9,FALSE)),"")</f>
        <v/>
      </c>
      <c r="F219" s="208" t="str">
        <f>IFERROR(IF(VLOOKUP($A219,'Annex 2 Designated EHV charges'!$A:$P,10,FALSE)=0,"",VLOOKUP($A219,'Annex 2 Designated EHV charges'!$A:$P,10,FALSE)),"")</f>
        <v/>
      </c>
      <c r="G219" s="63" t="str">
        <f>IFERROR(IF(VLOOKUP($A219,'Annex 2 Designated EHV charges'!$A:$P,11,FALSE)=0,"",VLOOKUP($A219,'Annex 2 Designated EHV charges'!$A:$P,11,FALSE)),"")</f>
        <v/>
      </c>
      <c r="H219" s="53" t="str">
        <f>IFERROR(IF(VLOOKUP($A219,'Annex 2 Designated EHV charges'!$A:$P,12,FALSE)=0,"",VLOOKUP($A219,'Annex 2 Designated EHV charges'!$A:$P,12,FALSE)),"")</f>
        <v/>
      </c>
    </row>
    <row r="220" spans="1:8" x14ac:dyDescent="0.2">
      <c r="A220" s="53" t="str">
        <f t="array" ref="A220">IFERROR(INDEX('Annex 2 Designated EHV charges'!$A$11:$A$58, MATCH(0, IF(ISBLANK('Annex 2 Designated EHV charges'!$A$11:$A$58),1, COUNTIF(A$4:$A219, 'Annex 2 Designated EHV charges'!$A$11:$A$58)), 0)),"")</f>
        <v/>
      </c>
      <c r="B220" s="53" t="str">
        <f>IF($A220="","",VLOOKUP($A220,'Annex 2 Designated EHV charges'!$A:$O,2,0))</f>
        <v/>
      </c>
      <c r="C220" s="61" t="str">
        <f>IF($A220="","",VLOOKUP($A220,'Annex 2 Designated EHV charges'!$A:$O,3,0))</f>
        <v/>
      </c>
      <c r="D220" s="61" t="str">
        <f>IF($A220="","",VLOOKUP($A220,'Annex 2 Designated EHV charges'!$A:$O,7,0))</f>
        <v/>
      </c>
      <c r="E220" s="62" t="str">
        <f>IFERROR(IF(VLOOKUP($A220,'Annex 2 Designated EHV charges'!$A:$P,9,FALSE)=0,"",VLOOKUP($A220,'Annex 2 Designated EHV charges'!$A:$P,9,FALSE)),"")</f>
        <v/>
      </c>
      <c r="F220" s="208" t="str">
        <f>IFERROR(IF(VLOOKUP($A220,'Annex 2 Designated EHV charges'!$A:$P,10,FALSE)=0,"",VLOOKUP($A220,'Annex 2 Designated EHV charges'!$A:$P,10,FALSE)),"")</f>
        <v/>
      </c>
      <c r="G220" s="63" t="str">
        <f>IFERROR(IF(VLOOKUP($A220,'Annex 2 Designated EHV charges'!$A:$P,11,FALSE)=0,"",VLOOKUP($A220,'Annex 2 Designated EHV charges'!$A:$P,11,FALSE)),"")</f>
        <v/>
      </c>
      <c r="H220" s="53" t="str">
        <f>IFERROR(IF(VLOOKUP($A220,'Annex 2 Designated EHV charges'!$A:$P,12,FALSE)=0,"",VLOOKUP($A220,'Annex 2 Designated EHV charges'!$A:$P,12,FALSE)),"")</f>
        <v/>
      </c>
    </row>
    <row r="221" spans="1:8" x14ac:dyDescent="0.2">
      <c r="A221" s="53" t="str">
        <f t="array" ref="A221">IFERROR(INDEX('Annex 2 Designated EHV charges'!$A$11:$A$58, MATCH(0, IF(ISBLANK('Annex 2 Designated EHV charges'!$A$11:$A$58),1, COUNTIF(A$4:$A220, 'Annex 2 Designated EHV charges'!$A$11:$A$58)), 0)),"")</f>
        <v/>
      </c>
      <c r="B221" s="53" t="str">
        <f>IF($A221="","",VLOOKUP($A221,'Annex 2 Designated EHV charges'!$A:$O,2,0))</f>
        <v/>
      </c>
      <c r="C221" s="61" t="str">
        <f>IF($A221="","",VLOOKUP($A221,'Annex 2 Designated EHV charges'!$A:$O,3,0))</f>
        <v/>
      </c>
      <c r="D221" s="61" t="str">
        <f>IF($A221="","",VLOOKUP($A221,'Annex 2 Designated EHV charges'!$A:$O,7,0))</f>
        <v/>
      </c>
      <c r="E221" s="62" t="str">
        <f>IFERROR(IF(VLOOKUP($A221,'Annex 2 Designated EHV charges'!$A:$P,9,FALSE)=0,"",VLOOKUP($A221,'Annex 2 Designated EHV charges'!$A:$P,9,FALSE)),"")</f>
        <v/>
      </c>
      <c r="F221" s="208" t="str">
        <f>IFERROR(IF(VLOOKUP($A221,'Annex 2 Designated EHV charges'!$A:$P,10,FALSE)=0,"",VLOOKUP($A221,'Annex 2 Designated EHV charges'!$A:$P,10,FALSE)),"")</f>
        <v/>
      </c>
      <c r="G221" s="63" t="str">
        <f>IFERROR(IF(VLOOKUP($A221,'Annex 2 Designated EHV charges'!$A:$P,11,FALSE)=0,"",VLOOKUP($A221,'Annex 2 Designated EHV charges'!$A:$P,11,FALSE)),"")</f>
        <v/>
      </c>
      <c r="H221" s="53" t="str">
        <f>IFERROR(IF(VLOOKUP($A221,'Annex 2 Designated EHV charges'!$A:$P,12,FALSE)=0,"",VLOOKUP($A221,'Annex 2 Designated EHV charges'!$A:$P,12,FALSE)),"")</f>
        <v/>
      </c>
    </row>
    <row r="222" spans="1:8" x14ac:dyDescent="0.2">
      <c r="A222" s="53" t="str">
        <f t="array" ref="A222">IFERROR(INDEX('Annex 2 Designated EHV charges'!$A$11:$A$58, MATCH(0, IF(ISBLANK('Annex 2 Designated EHV charges'!$A$11:$A$58),1, COUNTIF(A$4:$A221, 'Annex 2 Designated EHV charges'!$A$11:$A$58)), 0)),"")</f>
        <v/>
      </c>
      <c r="B222" s="53" t="str">
        <f>IF($A222="","",VLOOKUP($A222,'Annex 2 Designated EHV charges'!$A:$O,2,0))</f>
        <v/>
      </c>
      <c r="C222" s="61" t="str">
        <f>IF($A222="","",VLOOKUP($A222,'Annex 2 Designated EHV charges'!$A:$O,3,0))</f>
        <v/>
      </c>
      <c r="D222" s="61" t="str">
        <f>IF($A222="","",VLOOKUP($A222,'Annex 2 Designated EHV charges'!$A:$O,7,0))</f>
        <v/>
      </c>
      <c r="E222" s="62" t="str">
        <f>IFERROR(IF(VLOOKUP($A222,'Annex 2 Designated EHV charges'!$A:$P,9,FALSE)=0,"",VLOOKUP($A222,'Annex 2 Designated EHV charges'!$A:$P,9,FALSE)),"")</f>
        <v/>
      </c>
      <c r="F222" s="208" t="str">
        <f>IFERROR(IF(VLOOKUP($A222,'Annex 2 Designated EHV charges'!$A:$P,10,FALSE)=0,"",VLOOKUP($A222,'Annex 2 Designated EHV charges'!$A:$P,10,FALSE)),"")</f>
        <v/>
      </c>
      <c r="G222" s="63" t="str">
        <f>IFERROR(IF(VLOOKUP($A222,'Annex 2 Designated EHV charges'!$A:$P,11,FALSE)=0,"",VLOOKUP($A222,'Annex 2 Designated EHV charges'!$A:$P,11,FALSE)),"")</f>
        <v/>
      </c>
      <c r="H222" s="53" t="str">
        <f>IFERROR(IF(VLOOKUP($A222,'Annex 2 Designated EHV charges'!$A:$P,12,FALSE)=0,"",VLOOKUP($A222,'Annex 2 Designated EHV charges'!$A:$P,12,FALSE)),"")</f>
        <v/>
      </c>
    </row>
    <row r="223" spans="1:8" x14ac:dyDescent="0.2">
      <c r="A223" s="53" t="str">
        <f t="array" ref="A223">IFERROR(INDEX('Annex 2 Designated EHV charges'!$A$11:$A$58, MATCH(0, IF(ISBLANK('Annex 2 Designated EHV charges'!$A$11:$A$58),1, COUNTIF(A$4:$A222, 'Annex 2 Designated EHV charges'!$A$11:$A$58)), 0)),"")</f>
        <v/>
      </c>
      <c r="B223" s="53" t="str">
        <f>IF($A223="","",VLOOKUP($A223,'Annex 2 Designated EHV charges'!$A:$O,2,0))</f>
        <v/>
      </c>
      <c r="C223" s="61" t="str">
        <f>IF($A223="","",VLOOKUP($A223,'Annex 2 Designated EHV charges'!$A:$O,3,0))</f>
        <v/>
      </c>
      <c r="D223" s="61" t="str">
        <f>IF($A223="","",VLOOKUP($A223,'Annex 2 Designated EHV charges'!$A:$O,7,0))</f>
        <v/>
      </c>
      <c r="E223" s="62" t="str">
        <f>IFERROR(IF(VLOOKUP($A223,'Annex 2 Designated EHV charges'!$A:$P,9,FALSE)=0,"",VLOOKUP($A223,'Annex 2 Designated EHV charges'!$A:$P,9,FALSE)),"")</f>
        <v/>
      </c>
      <c r="F223" s="208" t="str">
        <f>IFERROR(IF(VLOOKUP($A223,'Annex 2 Designated EHV charges'!$A:$P,10,FALSE)=0,"",VLOOKUP($A223,'Annex 2 Designated EHV charges'!$A:$P,10,FALSE)),"")</f>
        <v/>
      </c>
      <c r="G223" s="63" t="str">
        <f>IFERROR(IF(VLOOKUP($A223,'Annex 2 Designated EHV charges'!$A:$P,11,FALSE)=0,"",VLOOKUP($A223,'Annex 2 Designated EHV charges'!$A:$P,11,FALSE)),"")</f>
        <v/>
      </c>
      <c r="H223" s="53" t="str">
        <f>IFERROR(IF(VLOOKUP($A223,'Annex 2 Designated EHV charges'!$A:$P,12,FALSE)=0,"",VLOOKUP($A223,'Annex 2 Designated EHV charges'!$A:$P,12,FALSE)),"")</f>
        <v/>
      </c>
    </row>
    <row r="224" spans="1:8" x14ac:dyDescent="0.2">
      <c r="A224" s="53" t="str">
        <f t="array" ref="A224">IFERROR(INDEX('Annex 2 Designated EHV charges'!$A$11:$A$58, MATCH(0, IF(ISBLANK('Annex 2 Designated EHV charges'!$A$11:$A$58),1, COUNTIF(A$4:$A223, 'Annex 2 Designated EHV charges'!$A$11:$A$58)), 0)),"")</f>
        <v/>
      </c>
      <c r="B224" s="53" t="str">
        <f>IF($A224="","",VLOOKUP($A224,'Annex 2 Designated EHV charges'!$A:$O,2,0))</f>
        <v/>
      </c>
      <c r="C224" s="61" t="str">
        <f>IF($A224="","",VLOOKUP($A224,'Annex 2 Designated EHV charges'!$A:$O,3,0))</f>
        <v/>
      </c>
      <c r="D224" s="61" t="str">
        <f>IF($A224="","",VLOOKUP($A224,'Annex 2 Designated EHV charges'!$A:$O,7,0))</f>
        <v/>
      </c>
      <c r="E224" s="62" t="str">
        <f>IFERROR(IF(VLOOKUP($A224,'Annex 2 Designated EHV charges'!$A:$P,9,FALSE)=0,"",VLOOKUP($A224,'Annex 2 Designated EHV charges'!$A:$P,9,FALSE)),"")</f>
        <v/>
      </c>
      <c r="F224" s="208" t="str">
        <f>IFERROR(IF(VLOOKUP($A224,'Annex 2 Designated EHV charges'!$A:$P,10,FALSE)=0,"",VLOOKUP($A224,'Annex 2 Designated EHV charges'!$A:$P,10,FALSE)),"")</f>
        <v/>
      </c>
      <c r="G224" s="63" t="str">
        <f>IFERROR(IF(VLOOKUP($A224,'Annex 2 Designated EHV charges'!$A:$P,11,FALSE)=0,"",VLOOKUP($A224,'Annex 2 Designated EHV charges'!$A:$P,11,FALSE)),"")</f>
        <v/>
      </c>
      <c r="H224" s="53" t="str">
        <f>IFERROR(IF(VLOOKUP($A224,'Annex 2 Designated EHV charges'!$A:$P,12,FALSE)=0,"",VLOOKUP($A224,'Annex 2 Designated EHV charges'!$A:$P,12,FALSE)),"")</f>
        <v/>
      </c>
    </row>
    <row r="225" spans="1:8" x14ac:dyDescent="0.2">
      <c r="A225" s="53" t="str">
        <f t="array" ref="A225">IFERROR(INDEX('Annex 2 Designated EHV charges'!$A$11:$A$58, MATCH(0, IF(ISBLANK('Annex 2 Designated EHV charges'!$A$11:$A$58),1, COUNTIF(A$4:$A224, 'Annex 2 Designated EHV charges'!$A$11:$A$58)), 0)),"")</f>
        <v/>
      </c>
      <c r="B225" s="53" t="str">
        <f>IF($A225="","",VLOOKUP($A225,'Annex 2 Designated EHV charges'!$A:$O,2,0))</f>
        <v/>
      </c>
      <c r="C225" s="61" t="str">
        <f>IF($A225="","",VLOOKUP($A225,'Annex 2 Designated EHV charges'!$A:$O,3,0))</f>
        <v/>
      </c>
      <c r="D225" s="61" t="str">
        <f>IF($A225="","",VLOOKUP($A225,'Annex 2 Designated EHV charges'!$A:$O,7,0))</f>
        <v/>
      </c>
      <c r="E225" s="62" t="str">
        <f>IFERROR(IF(VLOOKUP($A225,'Annex 2 Designated EHV charges'!$A:$P,9,FALSE)=0,"",VLOOKUP($A225,'Annex 2 Designated EHV charges'!$A:$P,9,FALSE)),"")</f>
        <v/>
      </c>
      <c r="F225" s="208" t="str">
        <f>IFERROR(IF(VLOOKUP($A225,'Annex 2 Designated EHV charges'!$A:$P,10,FALSE)=0,"",VLOOKUP($A225,'Annex 2 Designated EHV charges'!$A:$P,10,FALSE)),"")</f>
        <v/>
      </c>
      <c r="G225" s="63" t="str">
        <f>IFERROR(IF(VLOOKUP($A225,'Annex 2 Designated EHV charges'!$A:$P,11,FALSE)=0,"",VLOOKUP($A225,'Annex 2 Designated EHV charges'!$A:$P,11,FALSE)),"")</f>
        <v/>
      </c>
      <c r="H225" s="53" t="str">
        <f>IFERROR(IF(VLOOKUP($A225,'Annex 2 Designated EHV charges'!$A:$P,12,FALSE)=0,"",VLOOKUP($A225,'Annex 2 Designated EHV charges'!$A:$P,12,FALSE)),"")</f>
        <v/>
      </c>
    </row>
    <row r="226" spans="1:8" x14ac:dyDescent="0.2">
      <c r="A226" s="53" t="str">
        <f t="array" ref="A226">IFERROR(INDEX('Annex 2 Designated EHV charges'!$A$11:$A$58, MATCH(0, IF(ISBLANK('Annex 2 Designated EHV charges'!$A$11:$A$58),1, COUNTIF(A$4:$A225, 'Annex 2 Designated EHV charges'!$A$11:$A$58)), 0)),"")</f>
        <v/>
      </c>
      <c r="B226" s="53" t="str">
        <f>IF($A226="","",VLOOKUP($A226,'Annex 2 Designated EHV charges'!$A:$O,2,0))</f>
        <v/>
      </c>
      <c r="C226" s="61" t="str">
        <f>IF($A226="","",VLOOKUP($A226,'Annex 2 Designated EHV charges'!$A:$O,3,0))</f>
        <v/>
      </c>
      <c r="D226" s="61" t="str">
        <f>IF($A226="","",VLOOKUP($A226,'Annex 2 Designated EHV charges'!$A:$O,7,0))</f>
        <v/>
      </c>
      <c r="E226" s="62" t="str">
        <f>IFERROR(IF(VLOOKUP($A226,'Annex 2 Designated EHV charges'!$A:$P,9,FALSE)=0,"",VLOOKUP($A226,'Annex 2 Designated EHV charges'!$A:$P,9,FALSE)),"")</f>
        <v/>
      </c>
      <c r="F226" s="208" t="str">
        <f>IFERROR(IF(VLOOKUP($A226,'Annex 2 Designated EHV charges'!$A:$P,10,FALSE)=0,"",VLOOKUP($A226,'Annex 2 Designated EHV charges'!$A:$P,10,FALSE)),"")</f>
        <v/>
      </c>
      <c r="G226" s="63" t="str">
        <f>IFERROR(IF(VLOOKUP($A226,'Annex 2 Designated EHV charges'!$A:$P,11,FALSE)=0,"",VLOOKUP($A226,'Annex 2 Designated EHV charges'!$A:$P,11,FALSE)),"")</f>
        <v/>
      </c>
      <c r="H226" s="53" t="str">
        <f>IFERROR(IF(VLOOKUP($A226,'Annex 2 Designated EHV charges'!$A:$P,12,FALSE)=0,"",VLOOKUP($A226,'Annex 2 Designated EHV charges'!$A:$P,12,FALSE)),"")</f>
        <v/>
      </c>
    </row>
    <row r="227" spans="1:8" x14ac:dyDescent="0.2">
      <c r="A227" s="53" t="str">
        <f t="array" ref="A227">IFERROR(INDEX('Annex 2 Designated EHV charges'!$A$11:$A$58, MATCH(0, IF(ISBLANK('Annex 2 Designated EHV charges'!$A$11:$A$58),1, COUNTIF(A$4:$A226, 'Annex 2 Designated EHV charges'!$A$11:$A$58)), 0)),"")</f>
        <v/>
      </c>
      <c r="B227" s="53" t="str">
        <f>IF($A227="","",VLOOKUP($A227,'Annex 2 Designated EHV charges'!$A:$O,2,0))</f>
        <v/>
      </c>
      <c r="C227" s="61" t="str">
        <f>IF($A227="","",VLOOKUP($A227,'Annex 2 Designated EHV charges'!$A:$O,3,0))</f>
        <v/>
      </c>
      <c r="D227" s="61" t="str">
        <f>IF($A227="","",VLOOKUP($A227,'Annex 2 Designated EHV charges'!$A:$O,7,0))</f>
        <v/>
      </c>
      <c r="E227" s="62" t="str">
        <f>IFERROR(IF(VLOOKUP($A227,'Annex 2 Designated EHV charges'!$A:$P,9,FALSE)=0,"",VLOOKUP($A227,'Annex 2 Designated EHV charges'!$A:$P,9,FALSE)),"")</f>
        <v/>
      </c>
      <c r="F227" s="208" t="str">
        <f>IFERROR(IF(VLOOKUP($A227,'Annex 2 Designated EHV charges'!$A:$P,10,FALSE)=0,"",VLOOKUP($A227,'Annex 2 Designated EHV charges'!$A:$P,10,FALSE)),"")</f>
        <v/>
      </c>
      <c r="G227" s="63" t="str">
        <f>IFERROR(IF(VLOOKUP($A227,'Annex 2 Designated EHV charges'!$A:$P,11,FALSE)=0,"",VLOOKUP($A227,'Annex 2 Designated EHV charges'!$A:$P,11,FALSE)),"")</f>
        <v/>
      </c>
      <c r="H227" s="53" t="str">
        <f>IFERROR(IF(VLOOKUP($A227,'Annex 2 Designated EHV charges'!$A:$P,12,FALSE)=0,"",VLOOKUP($A227,'Annex 2 Designated EHV charges'!$A:$P,12,FALSE)),"")</f>
        <v/>
      </c>
    </row>
    <row r="228" spans="1:8" x14ac:dyDescent="0.2">
      <c r="A228" s="53" t="str">
        <f t="array" ref="A228">IFERROR(INDEX('Annex 2 Designated EHV charges'!$A$11:$A$58, MATCH(0, IF(ISBLANK('Annex 2 Designated EHV charges'!$A$11:$A$58),1, COUNTIF(A$4:$A227, 'Annex 2 Designated EHV charges'!$A$11:$A$58)), 0)),"")</f>
        <v/>
      </c>
      <c r="B228" s="53" t="str">
        <f>IF($A228="","",VLOOKUP($A228,'Annex 2 Designated EHV charges'!$A:$O,2,0))</f>
        <v/>
      </c>
      <c r="C228" s="61" t="str">
        <f>IF($A228="","",VLOOKUP($A228,'Annex 2 Designated EHV charges'!$A:$O,3,0))</f>
        <v/>
      </c>
      <c r="D228" s="61" t="str">
        <f>IF($A228="","",VLOOKUP($A228,'Annex 2 Designated EHV charges'!$A:$O,7,0))</f>
        <v/>
      </c>
      <c r="E228" s="62" t="str">
        <f>IFERROR(IF(VLOOKUP($A228,'Annex 2 Designated EHV charges'!$A:$P,9,FALSE)=0,"",VLOOKUP($A228,'Annex 2 Designated EHV charges'!$A:$P,9,FALSE)),"")</f>
        <v/>
      </c>
      <c r="F228" s="208" t="str">
        <f>IFERROR(IF(VLOOKUP($A228,'Annex 2 Designated EHV charges'!$A:$P,10,FALSE)=0,"",VLOOKUP($A228,'Annex 2 Designated EHV charges'!$A:$P,10,FALSE)),"")</f>
        <v/>
      </c>
      <c r="G228" s="63" t="str">
        <f>IFERROR(IF(VLOOKUP($A228,'Annex 2 Designated EHV charges'!$A:$P,11,FALSE)=0,"",VLOOKUP($A228,'Annex 2 Designated EHV charges'!$A:$P,11,FALSE)),"")</f>
        <v/>
      </c>
      <c r="H228" s="53" t="str">
        <f>IFERROR(IF(VLOOKUP($A228,'Annex 2 Designated EHV charges'!$A:$P,12,FALSE)=0,"",VLOOKUP($A228,'Annex 2 Designated EHV charges'!$A:$P,12,FALSE)),"")</f>
        <v/>
      </c>
    </row>
    <row r="229" spans="1:8" x14ac:dyDescent="0.2">
      <c r="A229" s="53" t="str">
        <f t="array" ref="A229">IFERROR(INDEX('Annex 2 Designated EHV charges'!$A$11:$A$58, MATCH(0, IF(ISBLANK('Annex 2 Designated EHV charges'!$A$11:$A$58),1, COUNTIF(A$4:$A228, 'Annex 2 Designated EHV charges'!$A$11:$A$58)), 0)),"")</f>
        <v/>
      </c>
      <c r="B229" s="53" t="str">
        <f>IF($A229="","",VLOOKUP($A229,'Annex 2 Designated EHV charges'!$A:$O,2,0))</f>
        <v/>
      </c>
      <c r="C229" s="61" t="str">
        <f>IF($A229="","",VLOOKUP($A229,'Annex 2 Designated EHV charges'!$A:$O,3,0))</f>
        <v/>
      </c>
      <c r="D229" s="61" t="str">
        <f>IF($A229="","",VLOOKUP($A229,'Annex 2 Designated EHV charges'!$A:$O,7,0))</f>
        <v/>
      </c>
      <c r="E229" s="62" t="str">
        <f>IFERROR(IF(VLOOKUP($A229,'Annex 2 Designated EHV charges'!$A:$P,9,FALSE)=0,"",VLOOKUP($A229,'Annex 2 Designated EHV charges'!$A:$P,9,FALSE)),"")</f>
        <v/>
      </c>
      <c r="F229" s="208" t="str">
        <f>IFERROR(IF(VLOOKUP($A229,'Annex 2 Designated EHV charges'!$A:$P,10,FALSE)=0,"",VLOOKUP($A229,'Annex 2 Designated EHV charges'!$A:$P,10,FALSE)),"")</f>
        <v/>
      </c>
      <c r="G229" s="63" t="str">
        <f>IFERROR(IF(VLOOKUP($A229,'Annex 2 Designated EHV charges'!$A:$P,11,FALSE)=0,"",VLOOKUP($A229,'Annex 2 Designated EHV charges'!$A:$P,11,FALSE)),"")</f>
        <v/>
      </c>
      <c r="H229" s="53" t="str">
        <f>IFERROR(IF(VLOOKUP($A229,'Annex 2 Designated EHV charges'!$A:$P,12,FALSE)=0,"",VLOOKUP($A229,'Annex 2 Designated EHV charges'!$A:$P,12,FALSE)),"")</f>
        <v/>
      </c>
    </row>
    <row r="230" spans="1:8" x14ac:dyDescent="0.2">
      <c r="A230" s="53" t="str">
        <f t="array" ref="A230">IFERROR(INDEX('Annex 2 Designated EHV charges'!$A$11:$A$58, MATCH(0, IF(ISBLANK('Annex 2 Designated EHV charges'!$A$11:$A$58),1, COUNTIF(A$4:$A229, 'Annex 2 Designated EHV charges'!$A$11:$A$58)), 0)),"")</f>
        <v/>
      </c>
      <c r="B230" s="53" t="str">
        <f>IF($A230="","",VLOOKUP($A230,'Annex 2 Designated EHV charges'!$A:$O,2,0))</f>
        <v/>
      </c>
      <c r="C230" s="61" t="str">
        <f>IF($A230="","",VLOOKUP($A230,'Annex 2 Designated EHV charges'!$A:$O,3,0))</f>
        <v/>
      </c>
      <c r="D230" s="61" t="str">
        <f>IF($A230="","",VLOOKUP($A230,'Annex 2 Designated EHV charges'!$A:$O,7,0))</f>
        <v/>
      </c>
      <c r="E230" s="62" t="str">
        <f>IFERROR(IF(VLOOKUP($A230,'Annex 2 Designated EHV charges'!$A:$P,9,FALSE)=0,"",VLOOKUP($A230,'Annex 2 Designated EHV charges'!$A:$P,9,FALSE)),"")</f>
        <v/>
      </c>
      <c r="F230" s="208" t="str">
        <f>IFERROR(IF(VLOOKUP($A230,'Annex 2 Designated EHV charges'!$A:$P,10,FALSE)=0,"",VLOOKUP($A230,'Annex 2 Designated EHV charges'!$A:$P,10,FALSE)),"")</f>
        <v/>
      </c>
      <c r="G230" s="63" t="str">
        <f>IFERROR(IF(VLOOKUP($A230,'Annex 2 Designated EHV charges'!$A:$P,11,FALSE)=0,"",VLOOKUP($A230,'Annex 2 Designated EHV charges'!$A:$P,11,FALSE)),"")</f>
        <v/>
      </c>
      <c r="H230" s="53" t="str">
        <f>IFERROR(IF(VLOOKUP($A230,'Annex 2 Designated EHV charges'!$A:$P,12,FALSE)=0,"",VLOOKUP($A230,'Annex 2 Designated EHV charges'!$A:$P,12,FALSE)),"")</f>
        <v/>
      </c>
    </row>
    <row r="231" spans="1:8" x14ac:dyDescent="0.2">
      <c r="A231" s="53" t="str">
        <f t="array" ref="A231">IFERROR(INDEX('Annex 2 Designated EHV charges'!$A$11:$A$58, MATCH(0, IF(ISBLANK('Annex 2 Designated EHV charges'!$A$11:$A$58),1, COUNTIF(A$4:$A230, 'Annex 2 Designated EHV charges'!$A$11:$A$58)), 0)),"")</f>
        <v/>
      </c>
      <c r="B231" s="53" t="str">
        <f>IF($A231="","",VLOOKUP($A231,'Annex 2 Designated EHV charges'!$A:$O,2,0))</f>
        <v/>
      </c>
      <c r="C231" s="61" t="str">
        <f>IF($A231="","",VLOOKUP($A231,'Annex 2 Designated EHV charges'!$A:$O,3,0))</f>
        <v/>
      </c>
      <c r="D231" s="61" t="str">
        <f>IF($A231="","",VLOOKUP($A231,'Annex 2 Designated EHV charges'!$A:$O,7,0))</f>
        <v/>
      </c>
      <c r="E231" s="62" t="str">
        <f>IFERROR(IF(VLOOKUP($A231,'Annex 2 Designated EHV charges'!$A:$P,9,FALSE)=0,"",VLOOKUP($A231,'Annex 2 Designated EHV charges'!$A:$P,9,FALSE)),"")</f>
        <v/>
      </c>
      <c r="F231" s="208" t="str">
        <f>IFERROR(IF(VLOOKUP($A231,'Annex 2 Designated EHV charges'!$A:$P,10,FALSE)=0,"",VLOOKUP($A231,'Annex 2 Designated EHV charges'!$A:$P,10,FALSE)),"")</f>
        <v/>
      </c>
      <c r="G231" s="63" t="str">
        <f>IFERROR(IF(VLOOKUP($A231,'Annex 2 Designated EHV charges'!$A:$P,11,FALSE)=0,"",VLOOKUP($A231,'Annex 2 Designated EHV charges'!$A:$P,11,FALSE)),"")</f>
        <v/>
      </c>
      <c r="H231" s="53" t="str">
        <f>IFERROR(IF(VLOOKUP($A231,'Annex 2 Designated EHV charges'!$A:$P,12,FALSE)=0,"",VLOOKUP($A231,'Annex 2 Designated EHV charges'!$A:$P,12,FALSE)),"")</f>
        <v/>
      </c>
    </row>
    <row r="232" spans="1:8" x14ac:dyDescent="0.2">
      <c r="A232" s="53" t="str">
        <f t="array" ref="A232">IFERROR(INDEX('Annex 2 Designated EHV charges'!$A$11:$A$58, MATCH(0, IF(ISBLANK('Annex 2 Designated EHV charges'!$A$11:$A$58),1, COUNTIF(A$4:$A231, 'Annex 2 Designated EHV charges'!$A$11:$A$58)), 0)),"")</f>
        <v/>
      </c>
      <c r="B232" s="53" t="str">
        <f>IF($A232="","",VLOOKUP($A232,'Annex 2 Designated EHV charges'!$A:$O,2,0))</f>
        <v/>
      </c>
      <c r="C232" s="61" t="str">
        <f>IF($A232="","",VLOOKUP($A232,'Annex 2 Designated EHV charges'!$A:$O,3,0))</f>
        <v/>
      </c>
      <c r="D232" s="61" t="str">
        <f>IF($A232="","",VLOOKUP($A232,'Annex 2 Designated EHV charges'!$A:$O,7,0))</f>
        <v/>
      </c>
      <c r="E232" s="62" t="str">
        <f>IFERROR(IF(VLOOKUP($A232,'Annex 2 Designated EHV charges'!$A:$P,9,FALSE)=0,"",VLOOKUP($A232,'Annex 2 Designated EHV charges'!$A:$P,9,FALSE)),"")</f>
        <v/>
      </c>
      <c r="F232" s="208" t="str">
        <f>IFERROR(IF(VLOOKUP($A232,'Annex 2 Designated EHV charges'!$A:$P,10,FALSE)=0,"",VLOOKUP($A232,'Annex 2 Designated EHV charges'!$A:$P,10,FALSE)),"")</f>
        <v/>
      </c>
      <c r="G232" s="63" t="str">
        <f>IFERROR(IF(VLOOKUP($A232,'Annex 2 Designated EHV charges'!$A:$P,11,FALSE)=0,"",VLOOKUP($A232,'Annex 2 Designated EHV charges'!$A:$P,11,FALSE)),"")</f>
        <v/>
      </c>
      <c r="H232" s="53" t="str">
        <f>IFERROR(IF(VLOOKUP($A232,'Annex 2 Designated EHV charges'!$A:$P,12,FALSE)=0,"",VLOOKUP($A232,'Annex 2 Designated EHV charges'!$A:$P,12,FALSE)),"")</f>
        <v/>
      </c>
    </row>
    <row r="233" spans="1:8" x14ac:dyDescent="0.2">
      <c r="A233" s="53" t="str">
        <f t="array" ref="A233">IFERROR(INDEX('Annex 2 Designated EHV charges'!$A$11:$A$58, MATCH(0, IF(ISBLANK('Annex 2 Designated EHV charges'!$A$11:$A$58),1, COUNTIF(A$4:$A232, 'Annex 2 Designated EHV charges'!$A$11:$A$58)), 0)),"")</f>
        <v/>
      </c>
      <c r="B233" s="53" t="str">
        <f>IF($A233="","",VLOOKUP($A233,'Annex 2 Designated EHV charges'!$A:$O,2,0))</f>
        <v/>
      </c>
      <c r="C233" s="61" t="str">
        <f>IF($A233="","",VLOOKUP($A233,'Annex 2 Designated EHV charges'!$A:$O,3,0))</f>
        <v/>
      </c>
      <c r="D233" s="61" t="str">
        <f>IF($A233="","",VLOOKUP($A233,'Annex 2 Designated EHV charges'!$A:$O,7,0))</f>
        <v/>
      </c>
      <c r="E233" s="62" t="str">
        <f>IFERROR(IF(VLOOKUP($A233,'Annex 2 Designated EHV charges'!$A:$P,9,FALSE)=0,"",VLOOKUP($A233,'Annex 2 Designated EHV charges'!$A:$P,9,FALSE)),"")</f>
        <v/>
      </c>
      <c r="F233" s="208" t="str">
        <f>IFERROR(IF(VLOOKUP($A233,'Annex 2 Designated EHV charges'!$A:$P,10,FALSE)=0,"",VLOOKUP($A233,'Annex 2 Designated EHV charges'!$A:$P,10,FALSE)),"")</f>
        <v/>
      </c>
      <c r="G233" s="63" t="str">
        <f>IFERROR(IF(VLOOKUP($A233,'Annex 2 Designated EHV charges'!$A:$P,11,FALSE)=0,"",VLOOKUP($A233,'Annex 2 Designated EHV charges'!$A:$P,11,FALSE)),"")</f>
        <v/>
      </c>
      <c r="H233" s="53" t="str">
        <f>IFERROR(IF(VLOOKUP($A233,'Annex 2 Designated EHV charges'!$A:$P,12,FALSE)=0,"",VLOOKUP($A233,'Annex 2 Designated EHV charges'!$A:$P,12,FALSE)),"")</f>
        <v/>
      </c>
    </row>
    <row r="234" spans="1:8" x14ac:dyDescent="0.2">
      <c r="A234" s="53" t="str">
        <f t="array" ref="A234">IFERROR(INDEX('Annex 2 Designated EHV charges'!$A$11:$A$58, MATCH(0, IF(ISBLANK('Annex 2 Designated EHV charges'!$A$11:$A$58),1, COUNTIF(A$4:$A233, 'Annex 2 Designated EHV charges'!$A$11:$A$58)), 0)),"")</f>
        <v/>
      </c>
      <c r="B234" s="53" t="str">
        <f>IF($A234="","",VLOOKUP($A234,'Annex 2 Designated EHV charges'!$A:$O,2,0))</f>
        <v/>
      </c>
      <c r="C234" s="61" t="str">
        <f>IF($A234="","",VLOOKUP($A234,'Annex 2 Designated EHV charges'!$A:$O,3,0))</f>
        <v/>
      </c>
      <c r="D234" s="61" t="str">
        <f>IF($A234="","",VLOOKUP($A234,'Annex 2 Designated EHV charges'!$A:$O,7,0))</f>
        <v/>
      </c>
      <c r="E234" s="62" t="str">
        <f>IFERROR(IF(VLOOKUP($A234,'Annex 2 Designated EHV charges'!$A:$P,9,FALSE)=0,"",VLOOKUP($A234,'Annex 2 Designated EHV charges'!$A:$P,9,FALSE)),"")</f>
        <v/>
      </c>
      <c r="F234" s="208" t="str">
        <f>IFERROR(IF(VLOOKUP($A234,'Annex 2 Designated EHV charges'!$A:$P,10,FALSE)=0,"",VLOOKUP($A234,'Annex 2 Designated EHV charges'!$A:$P,10,FALSE)),"")</f>
        <v/>
      </c>
      <c r="G234" s="63" t="str">
        <f>IFERROR(IF(VLOOKUP($A234,'Annex 2 Designated EHV charges'!$A:$P,11,FALSE)=0,"",VLOOKUP($A234,'Annex 2 Designated EHV charges'!$A:$P,11,FALSE)),"")</f>
        <v/>
      </c>
      <c r="H234" s="53" t="str">
        <f>IFERROR(IF(VLOOKUP($A234,'Annex 2 Designated EHV charges'!$A:$P,12,FALSE)=0,"",VLOOKUP($A234,'Annex 2 Designated EHV charges'!$A:$P,12,FALSE)),"")</f>
        <v/>
      </c>
    </row>
    <row r="235" spans="1:8" x14ac:dyDescent="0.2">
      <c r="A235" s="53" t="str">
        <f t="array" ref="A235">IFERROR(INDEX('Annex 2 Designated EHV charges'!$A$11:$A$58, MATCH(0, IF(ISBLANK('Annex 2 Designated EHV charges'!$A$11:$A$58),1, COUNTIF(A$4:$A234, 'Annex 2 Designated EHV charges'!$A$11:$A$58)), 0)),"")</f>
        <v/>
      </c>
      <c r="B235" s="53" t="str">
        <f>IF($A235="","",VLOOKUP($A235,'Annex 2 Designated EHV charges'!$A:$O,2,0))</f>
        <v/>
      </c>
      <c r="C235" s="61" t="str">
        <f>IF($A235="","",VLOOKUP($A235,'Annex 2 Designated EHV charges'!$A:$O,3,0))</f>
        <v/>
      </c>
      <c r="D235" s="61" t="str">
        <f>IF($A235="","",VLOOKUP($A235,'Annex 2 Designated EHV charges'!$A:$O,7,0))</f>
        <v/>
      </c>
      <c r="E235" s="62" t="str">
        <f>IFERROR(IF(VLOOKUP($A235,'Annex 2 Designated EHV charges'!$A:$P,9,FALSE)=0,"",VLOOKUP($A235,'Annex 2 Designated EHV charges'!$A:$P,9,FALSE)),"")</f>
        <v/>
      </c>
      <c r="F235" s="208" t="str">
        <f>IFERROR(IF(VLOOKUP($A235,'Annex 2 Designated EHV charges'!$A:$P,10,FALSE)=0,"",VLOOKUP($A235,'Annex 2 Designated EHV charges'!$A:$P,10,FALSE)),"")</f>
        <v/>
      </c>
      <c r="G235" s="63" t="str">
        <f>IFERROR(IF(VLOOKUP($A235,'Annex 2 Designated EHV charges'!$A:$P,11,FALSE)=0,"",VLOOKUP($A235,'Annex 2 Designated EHV charges'!$A:$P,11,FALSE)),"")</f>
        <v/>
      </c>
      <c r="H235" s="53" t="str">
        <f>IFERROR(IF(VLOOKUP($A235,'Annex 2 Designated EHV charges'!$A:$P,12,FALSE)=0,"",VLOOKUP($A235,'Annex 2 Designated EHV charges'!$A:$P,12,FALSE)),"")</f>
        <v/>
      </c>
    </row>
    <row r="236" spans="1:8" x14ac:dyDescent="0.2">
      <c r="A236" s="53" t="str">
        <f t="array" ref="A236">IFERROR(INDEX('Annex 2 Designated EHV charges'!$A$11:$A$58, MATCH(0, IF(ISBLANK('Annex 2 Designated EHV charges'!$A$11:$A$58),1, COUNTIF(A$4:$A235, 'Annex 2 Designated EHV charges'!$A$11:$A$58)), 0)),"")</f>
        <v/>
      </c>
      <c r="B236" s="53" t="str">
        <f>IF($A236="","",VLOOKUP($A236,'Annex 2 Designated EHV charges'!$A:$O,2,0))</f>
        <v/>
      </c>
      <c r="C236" s="61" t="str">
        <f>IF($A236="","",VLOOKUP($A236,'Annex 2 Designated EHV charges'!$A:$O,3,0))</f>
        <v/>
      </c>
      <c r="D236" s="61" t="str">
        <f>IF($A236="","",VLOOKUP($A236,'Annex 2 Designated EHV charges'!$A:$O,7,0))</f>
        <v/>
      </c>
      <c r="E236" s="62" t="str">
        <f>IFERROR(IF(VLOOKUP($A236,'Annex 2 Designated EHV charges'!$A:$P,9,FALSE)=0,"",VLOOKUP($A236,'Annex 2 Designated EHV charges'!$A:$P,9,FALSE)),"")</f>
        <v/>
      </c>
      <c r="F236" s="208" t="str">
        <f>IFERROR(IF(VLOOKUP($A236,'Annex 2 Designated EHV charges'!$A:$P,10,FALSE)=0,"",VLOOKUP($A236,'Annex 2 Designated EHV charges'!$A:$P,10,FALSE)),"")</f>
        <v/>
      </c>
      <c r="G236" s="63" t="str">
        <f>IFERROR(IF(VLOOKUP($A236,'Annex 2 Designated EHV charges'!$A:$P,11,FALSE)=0,"",VLOOKUP($A236,'Annex 2 Designated EHV charges'!$A:$P,11,FALSE)),"")</f>
        <v/>
      </c>
      <c r="H236" s="53" t="str">
        <f>IFERROR(IF(VLOOKUP($A236,'Annex 2 Designated EHV charges'!$A:$P,12,FALSE)=0,"",VLOOKUP($A236,'Annex 2 Designated EHV charges'!$A:$P,12,FALSE)),"")</f>
        <v/>
      </c>
    </row>
    <row r="237" spans="1:8" x14ac:dyDescent="0.2">
      <c r="A237" s="53" t="str">
        <f t="array" ref="A237">IFERROR(INDEX('Annex 2 Designated EHV charges'!$A$11:$A$58, MATCH(0, IF(ISBLANK('Annex 2 Designated EHV charges'!$A$11:$A$58),1, COUNTIF(A$4:$A236, 'Annex 2 Designated EHV charges'!$A$11:$A$58)), 0)),"")</f>
        <v/>
      </c>
      <c r="B237" s="53" t="str">
        <f>IF($A237="","",VLOOKUP($A237,'Annex 2 Designated EHV charges'!$A:$O,2,0))</f>
        <v/>
      </c>
      <c r="C237" s="61" t="str">
        <f>IF($A237="","",VLOOKUP($A237,'Annex 2 Designated EHV charges'!$A:$O,3,0))</f>
        <v/>
      </c>
      <c r="D237" s="61" t="str">
        <f>IF($A237="","",VLOOKUP($A237,'Annex 2 Designated EHV charges'!$A:$O,7,0))</f>
        <v/>
      </c>
      <c r="E237" s="62" t="str">
        <f>IFERROR(IF(VLOOKUP($A237,'Annex 2 Designated EHV charges'!$A:$P,9,FALSE)=0,"",VLOOKUP($A237,'Annex 2 Designated EHV charges'!$A:$P,9,FALSE)),"")</f>
        <v/>
      </c>
      <c r="F237" s="208" t="str">
        <f>IFERROR(IF(VLOOKUP($A237,'Annex 2 Designated EHV charges'!$A:$P,10,FALSE)=0,"",VLOOKUP($A237,'Annex 2 Designated EHV charges'!$A:$P,10,FALSE)),"")</f>
        <v/>
      </c>
      <c r="G237" s="63" t="str">
        <f>IFERROR(IF(VLOOKUP($A237,'Annex 2 Designated EHV charges'!$A:$P,11,FALSE)=0,"",VLOOKUP($A237,'Annex 2 Designated EHV charges'!$A:$P,11,FALSE)),"")</f>
        <v/>
      </c>
      <c r="H237" s="53" t="str">
        <f>IFERROR(IF(VLOOKUP($A237,'Annex 2 Designated EHV charges'!$A:$P,12,FALSE)=0,"",VLOOKUP($A237,'Annex 2 Designated EHV charges'!$A:$P,12,FALSE)),"")</f>
        <v/>
      </c>
    </row>
    <row r="238" spans="1:8" x14ac:dyDescent="0.2">
      <c r="A238" s="53" t="str">
        <f t="array" ref="A238">IFERROR(INDEX('Annex 2 Designated EHV charges'!$A$11:$A$58, MATCH(0, IF(ISBLANK('Annex 2 Designated EHV charges'!$A$11:$A$58),1, COUNTIF(A$4:$A237, 'Annex 2 Designated EHV charges'!$A$11:$A$58)), 0)),"")</f>
        <v/>
      </c>
      <c r="B238" s="53" t="str">
        <f>IF($A238="","",VLOOKUP($A238,'Annex 2 Designated EHV charges'!$A:$O,2,0))</f>
        <v/>
      </c>
      <c r="C238" s="61" t="str">
        <f>IF($A238="","",VLOOKUP($A238,'Annex 2 Designated EHV charges'!$A:$O,3,0))</f>
        <v/>
      </c>
      <c r="D238" s="61" t="str">
        <f>IF($A238="","",VLOOKUP($A238,'Annex 2 Designated EHV charges'!$A:$O,7,0))</f>
        <v/>
      </c>
      <c r="E238" s="62" t="str">
        <f>IFERROR(IF(VLOOKUP($A238,'Annex 2 Designated EHV charges'!$A:$P,9,FALSE)=0,"",VLOOKUP($A238,'Annex 2 Designated EHV charges'!$A:$P,9,FALSE)),"")</f>
        <v/>
      </c>
      <c r="F238" s="208" t="str">
        <f>IFERROR(IF(VLOOKUP($A238,'Annex 2 Designated EHV charges'!$A:$P,10,FALSE)=0,"",VLOOKUP($A238,'Annex 2 Designated EHV charges'!$A:$P,10,FALSE)),"")</f>
        <v/>
      </c>
      <c r="G238" s="63" t="str">
        <f>IFERROR(IF(VLOOKUP($A238,'Annex 2 Designated EHV charges'!$A:$P,11,FALSE)=0,"",VLOOKUP($A238,'Annex 2 Designated EHV charges'!$A:$P,11,FALSE)),"")</f>
        <v/>
      </c>
      <c r="H238" s="53" t="str">
        <f>IFERROR(IF(VLOOKUP($A238,'Annex 2 Designated EHV charges'!$A:$P,12,FALSE)=0,"",VLOOKUP($A238,'Annex 2 Designated EHV charges'!$A:$P,12,FALSE)),"")</f>
        <v/>
      </c>
    </row>
    <row r="239" spans="1:8" x14ac:dyDescent="0.2">
      <c r="A239" s="53" t="str">
        <f t="array" ref="A239">IFERROR(INDEX('Annex 2 Designated EHV charges'!$A$11:$A$58, MATCH(0, IF(ISBLANK('Annex 2 Designated EHV charges'!$A$11:$A$58),1, COUNTIF(A$4:$A238, 'Annex 2 Designated EHV charges'!$A$11:$A$58)), 0)),"")</f>
        <v/>
      </c>
      <c r="B239" s="53" t="str">
        <f>IF($A239="","",VLOOKUP($A239,'Annex 2 Designated EHV charges'!$A:$O,2,0))</f>
        <v/>
      </c>
      <c r="C239" s="61" t="str">
        <f>IF($A239="","",VLOOKUP($A239,'Annex 2 Designated EHV charges'!$A:$O,3,0))</f>
        <v/>
      </c>
      <c r="D239" s="61" t="str">
        <f>IF($A239="","",VLOOKUP($A239,'Annex 2 Designated EHV charges'!$A:$O,7,0))</f>
        <v/>
      </c>
      <c r="E239" s="62" t="str">
        <f>IFERROR(IF(VLOOKUP($A239,'Annex 2 Designated EHV charges'!$A:$P,9,FALSE)=0,"",VLOOKUP($A239,'Annex 2 Designated EHV charges'!$A:$P,9,FALSE)),"")</f>
        <v/>
      </c>
      <c r="F239" s="208" t="str">
        <f>IFERROR(IF(VLOOKUP($A239,'Annex 2 Designated EHV charges'!$A:$P,10,FALSE)=0,"",VLOOKUP($A239,'Annex 2 Designated EHV charges'!$A:$P,10,FALSE)),"")</f>
        <v/>
      </c>
      <c r="G239" s="63" t="str">
        <f>IFERROR(IF(VLOOKUP($A239,'Annex 2 Designated EHV charges'!$A:$P,11,FALSE)=0,"",VLOOKUP($A239,'Annex 2 Designated EHV charges'!$A:$P,11,FALSE)),"")</f>
        <v/>
      </c>
      <c r="H239" s="53" t="str">
        <f>IFERROR(IF(VLOOKUP($A239,'Annex 2 Designated EHV charges'!$A:$P,12,FALSE)=0,"",VLOOKUP($A239,'Annex 2 Designated EHV charges'!$A:$P,12,FALSE)),"")</f>
        <v/>
      </c>
    </row>
    <row r="240" spans="1:8" x14ac:dyDescent="0.2">
      <c r="A240" s="53" t="str">
        <f t="array" ref="A240">IFERROR(INDEX('Annex 2 Designated EHV charges'!$A$11:$A$58, MATCH(0, IF(ISBLANK('Annex 2 Designated EHV charges'!$A$11:$A$58),1, COUNTIF(A$4:$A239, 'Annex 2 Designated EHV charges'!$A$11:$A$58)), 0)),"")</f>
        <v/>
      </c>
      <c r="B240" s="53" t="str">
        <f>IF($A240="","",VLOOKUP($A240,'Annex 2 Designated EHV charges'!$A:$O,2,0))</f>
        <v/>
      </c>
      <c r="C240" s="61" t="str">
        <f>IF($A240="","",VLOOKUP($A240,'Annex 2 Designated EHV charges'!$A:$O,3,0))</f>
        <v/>
      </c>
      <c r="D240" s="61" t="str">
        <f>IF($A240="","",VLOOKUP($A240,'Annex 2 Designated EHV charges'!$A:$O,7,0))</f>
        <v/>
      </c>
      <c r="E240" s="62" t="str">
        <f>IFERROR(IF(VLOOKUP($A240,'Annex 2 Designated EHV charges'!$A:$P,9,FALSE)=0,"",VLOOKUP($A240,'Annex 2 Designated EHV charges'!$A:$P,9,FALSE)),"")</f>
        <v/>
      </c>
      <c r="F240" s="208" t="str">
        <f>IFERROR(IF(VLOOKUP($A240,'Annex 2 Designated EHV charges'!$A:$P,10,FALSE)=0,"",VLOOKUP($A240,'Annex 2 Designated EHV charges'!$A:$P,10,FALSE)),"")</f>
        <v/>
      </c>
      <c r="G240" s="63" t="str">
        <f>IFERROR(IF(VLOOKUP($A240,'Annex 2 Designated EHV charges'!$A:$P,11,FALSE)=0,"",VLOOKUP($A240,'Annex 2 Designated EHV charges'!$A:$P,11,FALSE)),"")</f>
        <v/>
      </c>
      <c r="H240" s="53" t="str">
        <f>IFERROR(IF(VLOOKUP($A240,'Annex 2 Designated EHV charges'!$A:$P,12,FALSE)=0,"",VLOOKUP($A240,'Annex 2 Designated EHV charges'!$A:$P,12,FALSE)),"")</f>
        <v/>
      </c>
    </row>
    <row r="241" spans="1:8" x14ac:dyDescent="0.2">
      <c r="A241" s="53" t="str">
        <f t="array" ref="A241">IFERROR(INDEX('Annex 2 Designated EHV charges'!$A$11:$A$58, MATCH(0, IF(ISBLANK('Annex 2 Designated EHV charges'!$A$11:$A$58),1, COUNTIF(A$4:$A240, 'Annex 2 Designated EHV charges'!$A$11:$A$58)), 0)),"")</f>
        <v/>
      </c>
      <c r="B241" s="53" t="str">
        <f>IF($A241="","",VLOOKUP($A241,'Annex 2 Designated EHV charges'!$A:$O,2,0))</f>
        <v/>
      </c>
      <c r="C241" s="61" t="str">
        <f>IF($A241="","",VLOOKUP($A241,'Annex 2 Designated EHV charges'!$A:$O,3,0))</f>
        <v/>
      </c>
      <c r="D241" s="61" t="str">
        <f>IF($A241="","",VLOOKUP($A241,'Annex 2 Designated EHV charges'!$A:$O,7,0))</f>
        <v/>
      </c>
      <c r="E241" s="62" t="str">
        <f>IFERROR(IF(VLOOKUP($A241,'Annex 2 Designated EHV charges'!$A:$P,9,FALSE)=0,"",VLOOKUP($A241,'Annex 2 Designated EHV charges'!$A:$P,9,FALSE)),"")</f>
        <v/>
      </c>
      <c r="F241" s="208" t="str">
        <f>IFERROR(IF(VLOOKUP($A241,'Annex 2 Designated EHV charges'!$A:$P,10,FALSE)=0,"",VLOOKUP($A241,'Annex 2 Designated EHV charges'!$A:$P,10,FALSE)),"")</f>
        <v/>
      </c>
      <c r="G241" s="63" t="str">
        <f>IFERROR(IF(VLOOKUP($A241,'Annex 2 Designated EHV charges'!$A:$P,11,FALSE)=0,"",VLOOKUP($A241,'Annex 2 Designated EHV charges'!$A:$P,11,FALSE)),"")</f>
        <v/>
      </c>
      <c r="H241" s="53" t="str">
        <f>IFERROR(IF(VLOOKUP($A241,'Annex 2 Designated EHV charges'!$A:$P,12,FALSE)=0,"",VLOOKUP($A241,'Annex 2 Designated EHV charges'!$A:$P,12,FALSE)),"")</f>
        <v/>
      </c>
    </row>
    <row r="242" spans="1:8" x14ac:dyDescent="0.2">
      <c r="A242" s="53" t="str">
        <f t="array" ref="A242">IFERROR(INDEX('Annex 2 Designated EHV charges'!$A$11:$A$58, MATCH(0, IF(ISBLANK('Annex 2 Designated EHV charges'!$A$11:$A$58),1, COUNTIF(A$4:$A241, 'Annex 2 Designated EHV charges'!$A$11:$A$58)), 0)),"")</f>
        <v/>
      </c>
      <c r="B242" s="53" t="str">
        <f>IF($A242="","",VLOOKUP($A242,'Annex 2 Designated EHV charges'!$A:$O,2,0))</f>
        <v/>
      </c>
      <c r="C242" s="61" t="str">
        <f>IF($A242="","",VLOOKUP($A242,'Annex 2 Designated EHV charges'!$A:$O,3,0))</f>
        <v/>
      </c>
      <c r="D242" s="61" t="str">
        <f>IF($A242="","",VLOOKUP($A242,'Annex 2 Designated EHV charges'!$A:$O,7,0))</f>
        <v/>
      </c>
      <c r="E242" s="62" t="str">
        <f>IFERROR(IF(VLOOKUP($A242,'Annex 2 Designated EHV charges'!$A:$P,9,FALSE)=0,"",VLOOKUP($A242,'Annex 2 Designated EHV charges'!$A:$P,9,FALSE)),"")</f>
        <v/>
      </c>
      <c r="F242" s="208" t="str">
        <f>IFERROR(IF(VLOOKUP($A242,'Annex 2 Designated EHV charges'!$A:$P,10,FALSE)=0,"",VLOOKUP($A242,'Annex 2 Designated EHV charges'!$A:$P,10,FALSE)),"")</f>
        <v/>
      </c>
      <c r="G242" s="63" t="str">
        <f>IFERROR(IF(VLOOKUP($A242,'Annex 2 Designated EHV charges'!$A:$P,11,FALSE)=0,"",VLOOKUP($A242,'Annex 2 Designated EHV charges'!$A:$P,11,FALSE)),"")</f>
        <v/>
      </c>
      <c r="H242" s="53" t="str">
        <f>IFERROR(IF(VLOOKUP($A242,'Annex 2 Designated EHV charges'!$A:$P,12,FALSE)=0,"",VLOOKUP($A242,'Annex 2 Designated EHV charges'!$A:$P,12,FALSE)),"")</f>
        <v/>
      </c>
    </row>
    <row r="243" spans="1:8" x14ac:dyDescent="0.2">
      <c r="A243" s="53" t="str">
        <f t="array" ref="A243">IFERROR(INDEX('Annex 2 Designated EHV charges'!$A$11:$A$58, MATCH(0, IF(ISBLANK('Annex 2 Designated EHV charges'!$A$11:$A$58),1, COUNTIF(A$4:$A242, 'Annex 2 Designated EHV charges'!$A$11:$A$58)), 0)),"")</f>
        <v/>
      </c>
      <c r="B243" s="53" t="str">
        <f>IF($A243="","",VLOOKUP($A243,'Annex 2 Designated EHV charges'!$A:$O,2,0))</f>
        <v/>
      </c>
      <c r="C243" s="61" t="str">
        <f>IF($A243="","",VLOOKUP($A243,'Annex 2 Designated EHV charges'!$A:$O,3,0))</f>
        <v/>
      </c>
      <c r="D243" s="61" t="str">
        <f>IF($A243="","",VLOOKUP($A243,'Annex 2 Designated EHV charges'!$A:$O,7,0))</f>
        <v/>
      </c>
      <c r="E243" s="62" t="str">
        <f>IFERROR(IF(VLOOKUP($A243,'Annex 2 Designated EHV charges'!$A:$P,9,FALSE)=0,"",VLOOKUP($A243,'Annex 2 Designated EHV charges'!$A:$P,9,FALSE)),"")</f>
        <v/>
      </c>
      <c r="F243" s="208" t="str">
        <f>IFERROR(IF(VLOOKUP($A243,'Annex 2 Designated EHV charges'!$A:$P,10,FALSE)=0,"",VLOOKUP($A243,'Annex 2 Designated EHV charges'!$A:$P,10,FALSE)),"")</f>
        <v/>
      </c>
      <c r="G243" s="63" t="str">
        <f>IFERROR(IF(VLOOKUP($A243,'Annex 2 Designated EHV charges'!$A:$P,11,FALSE)=0,"",VLOOKUP($A243,'Annex 2 Designated EHV charges'!$A:$P,11,FALSE)),"")</f>
        <v/>
      </c>
      <c r="H243" s="53" t="str">
        <f>IFERROR(IF(VLOOKUP($A243,'Annex 2 Designated EHV charges'!$A:$P,12,FALSE)=0,"",VLOOKUP($A243,'Annex 2 Designated EHV charges'!$A:$P,12,FALSE)),"")</f>
        <v/>
      </c>
    </row>
    <row r="244" spans="1:8" x14ac:dyDescent="0.2">
      <c r="A244" s="53" t="str">
        <f t="array" ref="A244">IFERROR(INDEX('Annex 2 Designated EHV charges'!$A$11:$A$58, MATCH(0, IF(ISBLANK('Annex 2 Designated EHV charges'!$A$11:$A$58),1, COUNTIF(A$4:$A243, 'Annex 2 Designated EHV charges'!$A$11:$A$58)), 0)),"")</f>
        <v/>
      </c>
      <c r="B244" s="53" t="str">
        <f>IF($A244="","",VLOOKUP($A244,'Annex 2 Designated EHV charges'!$A:$O,2,0))</f>
        <v/>
      </c>
      <c r="C244" s="61" t="str">
        <f>IF($A244="","",VLOOKUP($A244,'Annex 2 Designated EHV charges'!$A:$O,3,0))</f>
        <v/>
      </c>
      <c r="D244" s="61" t="str">
        <f>IF($A244="","",VLOOKUP($A244,'Annex 2 Designated EHV charges'!$A:$O,7,0))</f>
        <v/>
      </c>
      <c r="E244" s="62" t="str">
        <f>IFERROR(IF(VLOOKUP($A244,'Annex 2 Designated EHV charges'!$A:$P,9,FALSE)=0,"",VLOOKUP($A244,'Annex 2 Designated EHV charges'!$A:$P,9,FALSE)),"")</f>
        <v/>
      </c>
      <c r="F244" s="208" t="str">
        <f>IFERROR(IF(VLOOKUP($A244,'Annex 2 Designated EHV charges'!$A:$P,10,FALSE)=0,"",VLOOKUP($A244,'Annex 2 Designated EHV charges'!$A:$P,10,FALSE)),"")</f>
        <v/>
      </c>
      <c r="G244" s="63" t="str">
        <f>IFERROR(IF(VLOOKUP($A244,'Annex 2 Designated EHV charges'!$A:$P,11,FALSE)=0,"",VLOOKUP($A244,'Annex 2 Designated EHV charges'!$A:$P,11,FALSE)),"")</f>
        <v/>
      </c>
      <c r="H244" s="53" t="str">
        <f>IFERROR(IF(VLOOKUP($A244,'Annex 2 Designated EHV charges'!$A:$P,12,FALSE)=0,"",VLOOKUP($A244,'Annex 2 Designated EHV charges'!$A:$P,12,FALSE)),"")</f>
        <v/>
      </c>
    </row>
    <row r="245" spans="1:8" x14ac:dyDescent="0.2">
      <c r="A245" s="53" t="str">
        <f t="array" ref="A245">IFERROR(INDEX('Annex 2 Designated EHV charges'!$A$11:$A$58, MATCH(0, IF(ISBLANK('Annex 2 Designated EHV charges'!$A$11:$A$58),1, COUNTIF(A$4:$A244, 'Annex 2 Designated EHV charges'!$A$11:$A$58)), 0)),"")</f>
        <v/>
      </c>
      <c r="B245" s="53" t="str">
        <f>IF($A245="","",VLOOKUP($A245,'Annex 2 Designated EHV charges'!$A:$O,2,0))</f>
        <v/>
      </c>
      <c r="C245" s="61" t="str">
        <f>IF($A245="","",VLOOKUP($A245,'Annex 2 Designated EHV charges'!$A:$O,3,0))</f>
        <v/>
      </c>
      <c r="D245" s="61" t="str">
        <f>IF($A245="","",VLOOKUP($A245,'Annex 2 Designated EHV charges'!$A:$O,7,0))</f>
        <v/>
      </c>
      <c r="E245" s="62" t="str">
        <f>IFERROR(IF(VLOOKUP($A245,'Annex 2 Designated EHV charges'!$A:$P,9,FALSE)=0,"",VLOOKUP($A245,'Annex 2 Designated EHV charges'!$A:$P,9,FALSE)),"")</f>
        <v/>
      </c>
      <c r="F245" s="208" t="str">
        <f>IFERROR(IF(VLOOKUP($A245,'Annex 2 Designated EHV charges'!$A:$P,10,FALSE)=0,"",VLOOKUP($A245,'Annex 2 Designated EHV charges'!$A:$P,10,FALSE)),"")</f>
        <v/>
      </c>
      <c r="G245" s="63" t="str">
        <f>IFERROR(IF(VLOOKUP($A245,'Annex 2 Designated EHV charges'!$A:$P,11,FALSE)=0,"",VLOOKUP($A245,'Annex 2 Designated EHV charges'!$A:$P,11,FALSE)),"")</f>
        <v/>
      </c>
      <c r="H245" s="53" t="str">
        <f>IFERROR(IF(VLOOKUP($A245,'Annex 2 Designated EHV charges'!$A:$P,12,FALSE)=0,"",VLOOKUP($A245,'Annex 2 Designated EHV charges'!$A:$P,12,FALSE)),"")</f>
        <v/>
      </c>
    </row>
    <row r="246" spans="1:8" x14ac:dyDescent="0.2">
      <c r="A246" s="53" t="str">
        <f t="array" ref="A246">IFERROR(INDEX('Annex 2 Designated EHV charges'!$A$11:$A$58, MATCH(0, IF(ISBLANK('Annex 2 Designated EHV charges'!$A$11:$A$58),1, COUNTIF(A$4:$A245, 'Annex 2 Designated EHV charges'!$A$11:$A$58)), 0)),"")</f>
        <v/>
      </c>
      <c r="B246" s="53" t="str">
        <f>IF($A246="","",VLOOKUP($A246,'Annex 2 Designated EHV charges'!$A:$O,2,0))</f>
        <v/>
      </c>
      <c r="C246" s="61" t="str">
        <f>IF($A246="","",VLOOKUP($A246,'Annex 2 Designated EHV charges'!$A:$O,3,0))</f>
        <v/>
      </c>
      <c r="D246" s="61" t="str">
        <f>IF($A246="","",VLOOKUP($A246,'Annex 2 Designated EHV charges'!$A:$O,7,0))</f>
        <v/>
      </c>
      <c r="E246" s="62" t="str">
        <f>IFERROR(IF(VLOOKUP($A246,'Annex 2 Designated EHV charges'!$A:$P,9,FALSE)=0,"",VLOOKUP($A246,'Annex 2 Designated EHV charges'!$A:$P,9,FALSE)),"")</f>
        <v/>
      </c>
      <c r="F246" s="208" t="str">
        <f>IFERROR(IF(VLOOKUP($A246,'Annex 2 Designated EHV charges'!$A:$P,10,FALSE)=0,"",VLOOKUP($A246,'Annex 2 Designated EHV charges'!$A:$P,10,FALSE)),"")</f>
        <v/>
      </c>
      <c r="G246" s="63" t="str">
        <f>IFERROR(IF(VLOOKUP($A246,'Annex 2 Designated EHV charges'!$A:$P,11,FALSE)=0,"",VLOOKUP($A246,'Annex 2 Designated EHV charges'!$A:$P,11,FALSE)),"")</f>
        <v/>
      </c>
      <c r="H246" s="53" t="str">
        <f>IFERROR(IF(VLOOKUP($A246,'Annex 2 Designated EHV charges'!$A:$P,12,FALSE)=0,"",VLOOKUP($A246,'Annex 2 Designated EHV charges'!$A:$P,12,FALSE)),"")</f>
        <v/>
      </c>
    </row>
    <row r="247" spans="1:8" x14ac:dyDescent="0.2">
      <c r="A247" s="53" t="str">
        <f t="array" ref="A247">IFERROR(INDEX('Annex 2 Designated EHV charges'!$A$11:$A$58, MATCH(0, IF(ISBLANK('Annex 2 Designated EHV charges'!$A$11:$A$58),1, COUNTIF(A$4:$A246, 'Annex 2 Designated EHV charges'!$A$11:$A$58)), 0)),"")</f>
        <v/>
      </c>
      <c r="B247" s="53" t="str">
        <f>IF($A247="","",VLOOKUP($A247,'Annex 2 Designated EHV charges'!$A:$O,2,0))</f>
        <v/>
      </c>
      <c r="C247" s="61" t="str">
        <f>IF($A247="","",VLOOKUP($A247,'Annex 2 Designated EHV charges'!$A:$O,3,0))</f>
        <v/>
      </c>
      <c r="D247" s="61" t="str">
        <f>IF($A247="","",VLOOKUP($A247,'Annex 2 Designated EHV charges'!$A:$O,7,0))</f>
        <v/>
      </c>
      <c r="E247" s="62" t="str">
        <f>IFERROR(IF(VLOOKUP($A247,'Annex 2 Designated EHV charges'!$A:$P,9,FALSE)=0,"",VLOOKUP($A247,'Annex 2 Designated EHV charges'!$A:$P,9,FALSE)),"")</f>
        <v/>
      </c>
      <c r="F247" s="208" t="str">
        <f>IFERROR(IF(VLOOKUP($A247,'Annex 2 Designated EHV charges'!$A:$P,10,FALSE)=0,"",VLOOKUP($A247,'Annex 2 Designated EHV charges'!$A:$P,10,FALSE)),"")</f>
        <v/>
      </c>
      <c r="G247" s="63" t="str">
        <f>IFERROR(IF(VLOOKUP($A247,'Annex 2 Designated EHV charges'!$A:$P,11,FALSE)=0,"",VLOOKUP($A247,'Annex 2 Designated EHV charges'!$A:$P,11,FALSE)),"")</f>
        <v/>
      </c>
      <c r="H247" s="53" t="str">
        <f>IFERROR(IF(VLOOKUP($A247,'Annex 2 Designated EHV charges'!$A:$P,12,FALSE)=0,"",VLOOKUP($A247,'Annex 2 Designated EHV charges'!$A:$P,12,FALSE)),"")</f>
        <v/>
      </c>
    </row>
    <row r="248" spans="1:8" x14ac:dyDescent="0.2">
      <c r="A248" s="53" t="str">
        <f t="array" ref="A248">IFERROR(INDEX('Annex 2 Designated EHV charges'!$A$11:$A$58, MATCH(0, IF(ISBLANK('Annex 2 Designated EHV charges'!$A$11:$A$58),1, COUNTIF(A$4:$A247, 'Annex 2 Designated EHV charges'!$A$11:$A$58)), 0)),"")</f>
        <v/>
      </c>
      <c r="B248" s="53" t="str">
        <f>IF($A248="","",VLOOKUP($A248,'Annex 2 Designated EHV charges'!$A:$O,2,0))</f>
        <v/>
      </c>
      <c r="C248" s="61" t="str">
        <f>IF($A248="","",VLOOKUP($A248,'Annex 2 Designated EHV charges'!$A:$O,3,0))</f>
        <v/>
      </c>
      <c r="D248" s="61" t="str">
        <f>IF($A248="","",VLOOKUP($A248,'Annex 2 Designated EHV charges'!$A:$O,7,0))</f>
        <v/>
      </c>
      <c r="E248" s="62" t="str">
        <f>IFERROR(IF(VLOOKUP($A248,'Annex 2 Designated EHV charges'!$A:$P,9,FALSE)=0,"",VLOOKUP($A248,'Annex 2 Designated EHV charges'!$A:$P,9,FALSE)),"")</f>
        <v/>
      </c>
      <c r="F248" s="208" t="str">
        <f>IFERROR(IF(VLOOKUP($A248,'Annex 2 Designated EHV charges'!$A:$P,10,FALSE)=0,"",VLOOKUP($A248,'Annex 2 Designated EHV charges'!$A:$P,10,FALSE)),"")</f>
        <v/>
      </c>
      <c r="G248" s="63" t="str">
        <f>IFERROR(IF(VLOOKUP($A248,'Annex 2 Designated EHV charges'!$A:$P,11,FALSE)=0,"",VLOOKUP($A248,'Annex 2 Designated EHV charges'!$A:$P,11,FALSE)),"")</f>
        <v/>
      </c>
      <c r="H248" s="53" t="str">
        <f>IFERROR(IF(VLOOKUP($A248,'Annex 2 Designated EHV charges'!$A:$P,12,FALSE)=0,"",VLOOKUP($A248,'Annex 2 Designated EHV charges'!$A:$P,12,FALSE)),"")</f>
        <v/>
      </c>
    </row>
    <row r="249" spans="1:8" x14ac:dyDescent="0.2">
      <c r="A249" s="53" t="str">
        <f t="array" ref="A249">IFERROR(INDEX('Annex 2 Designated EHV charges'!$A$11:$A$58, MATCH(0, IF(ISBLANK('Annex 2 Designated EHV charges'!$A$11:$A$58),1, COUNTIF(A$4:$A248, 'Annex 2 Designated EHV charges'!$A$11:$A$58)), 0)),"")</f>
        <v/>
      </c>
      <c r="B249" s="53" t="str">
        <f>IF($A249="","",VLOOKUP($A249,'Annex 2 Designated EHV charges'!$A:$O,2,0))</f>
        <v/>
      </c>
      <c r="C249" s="61" t="str">
        <f>IF($A249="","",VLOOKUP($A249,'Annex 2 Designated EHV charges'!$A:$O,3,0))</f>
        <v/>
      </c>
      <c r="D249" s="61" t="str">
        <f>IF($A249="","",VLOOKUP($A249,'Annex 2 Designated EHV charges'!$A:$O,7,0))</f>
        <v/>
      </c>
      <c r="E249" s="62" t="str">
        <f>IFERROR(IF(VLOOKUP($A249,'Annex 2 Designated EHV charges'!$A:$P,9,FALSE)=0,"",VLOOKUP($A249,'Annex 2 Designated EHV charges'!$A:$P,9,FALSE)),"")</f>
        <v/>
      </c>
      <c r="F249" s="208" t="str">
        <f>IFERROR(IF(VLOOKUP($A249,'Annex 2 Designated EHV charges'!$A:$P,10,FALSE)=0,"",VLOOKUP($A249,'Annex 2 Designated EHV charges'!$A:$P,10,FALSE)),"")</f>
        <v/>
      </c>
      <c r="G249" s="63" t="str">
        <f>IFERROR(IF(VLOOKUP($A249,'Annex 2 Designated EHV charges'!$A:$P,11,FALSE)=0,"",VLOOKUP($A249,'Annex 2 Designated EHV charges'!$A:$P,11,FALSE)),"")</f>
        <v/>
      </c>
      <c r="H249" s="53" t="str">
        <f>IFERROR(IF(VLOOKUP($A249,'Annex 2 Designated EHV charges'!$A:$P,12,FALSE)=0,"",VLOOKUP($A249,'Annex 2 Designated EHV charges'!$A:$P,12,FALSE)),"")</f>
        <v/>
      </c>
    </row>
    <row r="250" spans="1:8" x14ac:dyDescent="0.2">
      <c r="A250" s="53" t="str">
        <f t="array" ref="A250">IFERROR(INDEX('Annex 2 Designated EHV charges'!$A$11:$A$58, MATCH(0, IF(ISBLANK('Annex 2 Designated EHV charges'!$A$11:$A$58),1, COUNTIF(A$4:$A249, 'Annex 2 Designated EHV charges'!$A$11:$A$58)), 0)),"")</f>
        <v/>
      </c>
      <c r="B250" s="53" t="str">
        <f>IF($A250="","",VLOOKUP($A250,'Annex 2 Designated EHV charges'!$A:$O,2,0))</f>
        <v/>
      </c>
      <c r="C250" s="61" t="str">
        <f>IF($A250="","",VLOOKUP($A250,'Annex 2 Designated EHV charges'!$A:$O,3,0))</f>
        <v/>
      </c>
      <c r="D250" s="61" t="str">
        <f>IF($A250="","",VLOOKUP($A250,'Annex 2 Designated EHV charges'!$A:$O,7,0))</f>
        <v/>
      </c>
      <c r="E250" s="62" t="str">
        <f>IFERROR(IF(VLOOKUP($A250,'Annex 2 Designated EHV charges'!$A:$P,9,FALSE)=0,"",VLOOKUP($A250,'Annex 2 Designated EHV charges'!$A:$P,9,FALSE)),"")</f>
        <v/>
      </c>
      <c r="F250" s="208" t="str">
        <f>IFERROR(IF(VLOOKUP($A250,'Annex 2 Designated EHV charges'!$A:$P,10,FALSE)=0,"",VLOOKUP($A250,'Annex 2 Designated EHV charges'!$A:$P,10,FALSE)),"")</f>
        <v/>
      </c>
      <c r="G250" s="63" t="str">
        <f>IFERROR(IF(VLOOKUP($A250,'Annex 2 Designated EHV charges'!$A:$P,11,FALSE)=0,"",VLOOKUP($A250,'Annex 2 Designated EHV charges'!$A:$P,11,FALSE)),"")</f>
        <v/>
      </c>
      <c r="H250" s="53" t="str">
        <f>IFERROR(IF(VLOOKUP($A250,'Annex 2 Designated EHV charges'!$A:$P,12,FALSE)=0,"",VLOOKUP($A250,'Annex 2 Designated EHV charges'!$A:$P,12,FALSE)),"")</f>
        <v/>
      </c>
    </row>
    <row r="251" spans="1:8" x14ac:dyDescent="0.2">
      <c r="A251" s="53" t="str">
        <f t="array" ref="A251">IFERROR(INDEX('Annex 2 Designated EHV charges'!$A$11:$A$58, MATCH(0, IF(ISBLANK('Annex 2 Designated EHV charges'!$A$11:$A$58),1, COUNTIF(A$4:$A250, 'Annex 2 Designated EHV charges'!$A$11:$A$58)), 0)),"")</f>
        <v/>
      </c>
      <c r="B251" s="53" t="str">
        <f>IF($A251="","",VLOOKUP($A251,'Annex 2 Designated EHV charges'!$A:$O,2,0))</f>
        <v/>
      </c>
      <c r="C251" s="61" t="str">
        <f>IF($A251="","",VLOOKUP($A251,'Annex 2 Designated EHV charges'!$A:$O,3,0))</f>
        <v/>
      </c>
      <c r="D251" s="61" t="str">
        <f>IF($A251="","",VLOOKUP($A251,'Annex 2 Designated EHV charges'!$A:$O,7,0))</f>
        <v/>
      </c>
      <c r="E251" s="62" t="str">
        <f>IFERROR(IF(VLOOKUP($A251,'Annex 2 Designated EHV charges'!$A:$P,9,FALSE)=0,"",VLOOKUP($A251,'Annex 2 Designated EHV charges'!$A:$P,9,FALSE)),"")</f>
        <v/>
      </c>
      <c r="F251" s="208" t="str">
        <f>IFERROR(IF(VLOOKUP($A251,'Annex 2 Designated EHV charges'!$A:$P,10,FALSE)=0,"",VLOOKUP($A251,'Annex 2 Designated EHV charges'!$A:$P,10,FALSE)),"")</f>
        <v/>
      </c>
      <c r="G251" s="63" t="str">
        <f>IFERROR(IF(VLOOKUP($A251,'Annex 2 Designated EHV charges'!$A:$P,11,FALSE)=0,"",VLOOKUP($A251,'Annex 2 Designated EHV charges'!$A:$P,11,FALSE)),"")</f>
        <v/>
      </c>
      <c r="H251" s="53" t="str">
        <f>IFERROR(IF(VLOOKUP($A251,'Annex 2 Designated EHV charges'!$A:$P,12,FALSE)=0,"",VLOOKUP($A251,'Annex 2 Designated EHV charges'!$A:$P,12,FALSE)),"")</f>
        <v/>
      </c>
    </row>
    <row r="252" spans="1:8" x14ac:dyDescent="0.2">
      <c r="A252" s="53" t="str">
        <f t="array" ref="A252">IFERROR(INDEX('Annex 2 Designated EHV charges'!$A$11:$A$58, MATCH(0, IF(ISBLANK('Annex 2 Designated EHV charges'!$A$11:$A$58),1, COUNTIF(A$4:$A251, 'Annex 2 Designated EHV charges'!$A$11:$A$58)), 0)),"")</f>
        <v/>
      </c>
      <c r="B252" s="53" t="str">
        <f>IF($A252="","",VLOOKUP($A252,'Annex 2 Designated EHV charges'!$A:$O,2,0))</f>
        <v/>
      </c>
      <c r="C252" s="61" t="str">
        <f>IF($A252="","",VLOOKUP($A252,'Annex 2 Designated EHV charges'!$A:$O,3,0))</f>
        <v/>
      </c>
      <c r="D252" s="61" t="str">
        <f>IF($A252="","",VLOOKUP($A252,'Annex 2 Designated EHV charges'!$A:$O,7,0))</f>
        <v/>
      </c>
      <c r="E252" s="62" t="str">
        <f>IFERROR(IF(VLOOKUP($A252,'Annex 2 Designated EHV charges'!$A:$P,9,FALSE)=0,"",VLOOKUP($A252,'Annex 2 Designated EHV charges'!$A:$P,9,FALSE)),"")</f>
        <v/>
      </c>
      <c r="F252" s="208" t="str">
        <f>IFERROR(IF(VLOOKUP($A252,'Annex 2 Designated EHV charges'!$A:$P,10,FALSE)=0,"",VLOOKUP($A252,'Annex 2 Designated EHV charges'!$A:$P,10,FALSE)),"")</f>
        <v/>
      </c>
      <c r="G252" s="63" t="str">
        <f>IFERROR(IF(VLOOKUP($A252,'Annex 2 Designated EHV charges'!$A:$P,11,FALSE)=0,"",VLOOKUP($A252,'Annex 2 Designated EHV charges'!$A:$P,11,FALSE)),"")</f>
        <v/>
      </c>
      <c r="H252" s="53" t="str">
        <f>IFERROR(IF(VLOOKUP($A252,'Annex 2 Designated EHV charges'!$A:$P,12,FALSE)=0,"",VLOOKUP($A252,'Annex 2 Designated EHV charges'!$A:$P,12,FALSE)),"")</f>
        <v/>
      </c>
    </row>
    <row r="253" spans="1:8" x14ac:dyDescent="0.2">
      <c r="A253" s="53" t="str">
        <f t="array" ref="A253">IFERROR(INDEX('Annex 2 Designated EHV charges'!$A$11:$A$58, MATCH(0, IF(ISBLANK('Annex 2 Designated EHV charges'!$A$11:$A$58),1, COUNTIF(A$4:$A252, 'Annex 2 Designated EHV charges'!$A$11:$A$58)), 0)),"")</f>
        <v/>
      </c>
      <c r="B253" s="53" t="str">
        <f>IF($A253="","",VLOOKUP($A253,'Annex 2 Designated EHV charges'!$A:$O,2,0))</f>
        <v/>
      </c>
      <c r="C253" s="61" t="str">
        <f>IF($A253="","",VLOOKUP($A253,'Annex 2 Designated EHV charges'!$A:$O,3,0))</f>
        <v/>
      </c>
      <c r="D253" s="61" t="str">
        <f>IF($A253="","",VLOOKUP($A253,'Annex 2 Designated EHV charges'!$A:$O,7,0))</f>
        <v/>
      </c>
      <c r="E253" s="62" t="str">
        <f>IFERROR(IF(VLOOKUP($A253,'Annex 2 Designated EHV charges'!$A:$P,9,FALSE)=0,"",VLOOKUP($A253,'Annex 2 Designated EHV charges'!$A:$P,9,FALSE)),"")</f>
        <v/>
      </c>
      <c r="F253" s="208" t="str">
        <f>IFERROR(IF(VLOOKUP($A253,'Annex 2 Designated EHV charges'!$A:$P,10,FALSE)=0,"",VLOOKUP($A253,'Annex 2 Designated EHV charges'!$A:$P,10,FALSE)),"")</f>
        <v/>
      </c>
      <c r="G253" s="63" t="str">
        <f>IFERROR(IF(VLOOKUP($A253,'Annex 2 Designated EHV charges'!$A:$P,11,FALSE)=0,"",VLOOKUP($A253,'Annex 2 Designated EHV charges'!$A:$P,11,FALSE)),"")</f>
        <v/>
      </c>
      <c r="H253" s="53" t="str">
        <f>IFERROR(IF(VLOOKUP($A253,'Annex 2 Designated EHV charges'!$A:$P,12,FALSE)=0,"",VLOOKUP($A253,'Annex 2 Designated EHV charges'!$A:$P,12,FALSE)),"")</f>
        <v/>
      </c>
    </row>
    <row r="254" spans="1:8" x14ac:dyDescent="0.2">
      <c r="A254" s="53" t="str">
        <f t="array" ref="A254">IFERROR(INDEX('Annex 2 Designated EHV charges'!$A$11:$A$58, MATCH(0, IF(ISBLANK('Annex 2 Designated EHV charges'!$A$11:$A$58),1, COUNTIF(A$4:$A253, 'Annex 2 Designated EHV charges'!$A$11:$A$58)), 0)),"")</f>
        <v/>
      </c>
      <c r="B254" s="53" t="str">
        <f>IF($A254="","",VLOOKUP($A254,'Annex 2 Designated EHV charges'!$A:$O,2,0))</f>
        <v/>
      </c>
      <c r="C254" s="61" t="str">
        <f>IF($A254="","",VLOOKUP($A254,'Annex 2 Designated EHV charges'!$A:$O,3,0))</f>
        <v/>
      </c>
      <c r="D254" s="61" t="str">
        <f>IF($A254="","",VLOOKUP($A254,'Annex 2 Designated EHV charges'!$A:$O,7,0))</f>
        <v/>
      </c>
      <c r="E254" s="62" t="str">
        <f>IFERROR(IF(VLOOKUP($A254,'Annex 2 Designated EHV charges'!$A:$P,9,FALSE)=0,"",VLOOKUP($A254,'Annex 2 Designated EHV charges'!$A:$P,9,FALSE)),"")</f>
        <v/>
      </c>
      <c r="F254" s="208" t="str">
        <f>IFERROR(IF(VLOOKUP($A254,'Annex 2 Designated EHV charges'!$A:$P,10,FALSE)=0,"",VLOOKUP($A254,'Annex 2 Designated EHV charges'!$A:$P,10,FALSE)),"")</f>
        <v/>
      </c>
      <c r="G254" s="63" t="str">
        <f>IFERROR(IF(VLOOKUP($A254,'Annex 2 Designated EHV charges'!$A:$P,11,FALSE)=0,"",VLOOKUP($A254,'Annex 2 Designated EHV charges'!$A:$P,11,FALSE)),"")</f>
        <v/>
      </c>
      <c r="H254" s="53" t="str">
        <f>IFERROR(IF(VLOOKUP($A254,'Annex 2 Designated EHV charges'!$A:$P,12,FALSE)=0,"",VLOOKUP($A254,'Annex 2 Designated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6384" width="9.140625" style="53"/>
  </cols>
  <sheetData>
    <row r="1" spans="1:15" ht="66.75" customHeight="1" x14ac:dyDescent="0.2">
      <c r="A1" s="253" t="s">
        <v>1502</v>
      </c>
      <c r="B1" s="253"/>
      <c r="C1" s="253"/>
      <c r="D1" s="253"/>
      <c r="E1" s="253"/>
      <c r="F1" s="253"/>
      <c r="G1" s="253"/>
      <c r="H1" s="253"/>
    </row>
    <row r="2" spans="1:15" s="54" customFormat="1" ht="25.5" customHeight="1" x14ac:dyDescent="0.2">
      <c r="A2" s="250" t="str">
        <f>Overview!B4&amp; " - Effective from "&amp;Overview!D4&amp;" - "&amp;Overview!E4&amp;" Designated EHV export charges"</f>
        <v>London Power Networks - Effective from 1 April 2027 - Final Designated EHV export charges</v>
      </c>
      <c r="B2" s="251"/>
      <c r="C2" s="251"/>
      <c r="D2" s="251"/>
      <c r="E2" s="251"/>
      <c r="F2" s="251"/>
      <c r="G2" s="251"/>
      <c r="H2" s="252"/>
    </row>
    <row r="3" spans="1:15" s="85" customFormat="1" ht="18" x14ac:dyDescent="0.2">
      <c r="A3" s="89"/>
      <c r="B3" s="89"/>
      <c r="C3" s="89"/>
      <c r="D3" s="90"/>
      <c r="E3" s="91"/>
      <c r="F3" s="91"/>
      <c r="G3" s="92"/>
      <c r="H3" s="92"/>
      <c r="I3" s="84"/>
      <c r="J3" s="84"/>
      <c r="K3" s="84"/>
      <c r="L3" s="84"/>
      <c r="M3" s="84"/>
      <c r="N3" s="84"/>
      <c r="O3" s="84"/>
    </row>
    <row r="4" spans="1:15" ht="60.75" customHeight="1" x14ac:dyDescent="0.2">
      <c r="A4" s="55" t="s">
        <v>47</v>
      </c>
      <c r="B4" s="56" t="s">
        <v>652</v>
      </c>
      <c r="C4" s="55" t="s">
        <v>32</v>
      </c>
      <c r="D4" s="57" t="s">
        <v>26</v>
      </c>
      <c r="E4" s="57" t="str">
        <f>'Annex 2 Designated EHV charges'!M10</f>
        <v>Export
Super Red
unit charge
(p/kWh)</v>
      </c>
      <c r="F4" s="57" t="str">
        <f>'Annex 2 Designated EHV charges'!N10</f>
        <v>Export
fixed charge
(p/day)</v>
      </c>
      <c r="G4" s="57" t="str">
        <f>'Annex 2 Designated EHV charges'!O10</f>
        <v>Export
capacity charge
(p/kVA/day)</v>
      </c>
      <c r="H4" s="57" t="str">
        <f>'Annex 2 Designated EHV charges'!P10</f>
        <v>Export
exceeded capacity charge
(p/kVA/day)</v>
      </c>
    </row>
    <row r="5" spans="1:15" ht="25.5" x14ac:dyDescent="0.2">
      <c r="A5" s="98" t="str">
        <f t="array" ref="A5">IFERROR(INDEX('Annex 2 Designated EHV charges'!$D$11:$D$58, MATCH(0, IF(ISBLANK('Annex 2 Designated EHV charges'!$D$11:$D$58),1, COUNTIF(A$4:$A4, 'Annex 2 Designated EHV charges'!$D$11:$D$58)), 0)),"")</f>
        <v>NR_BOW</v>
      </c>
      <c r="B5" s="97">
        <f>IF($A5="","",VLOOKUP($A5,'Annex 2 Designated EHV charges'!$D:$O,2,0))</f>
        <v>707</v>
      </c>
      <c r="C5" s="98" t="str">
        <f>IF($A5="","",VLOOKUP($A5,'Annex 2 Designated EHV charges'!$D:$O,3,0))</f>
        <v>1200060280430;1200060280459</v>
      </c>
      <c r="D5" s="97" t="str">
        <f>IF($A5="","",VLOOKUP($A5,'Annex 2 Designated EHV charges'!$D:$O,4,0))</f>
        <v>NR_BOW</v>
      </c>
      <c r="E5" s="99" t="str">
        <f>IFERROR(IF(VLOOKUP($A5,'Annex 2 Designated EHV charges'!$D:$P,10,FALSE)=0,"",VLOOKUP($A5,'Annex 2 Designated EHV charges'!$D:$P,10,FALSE)),"")</f>
        <v/>
      </c>
      <c r="F5" s="209" t="str">
        <f>IFERROR(IF(VLOOKUP($A5,'Annex 2 Designated EHV charges'!$D:$P,11,FALSE)=0,"",VLOOKUP($A5,'Annex 2 Designated EHV charges'!$D:$P,11,FALSE)),"")</f>
        <v/>
      </c>
      <c r="G5" s="100" t="str">
        <f>IFERROR(IF(VLOOKUP($A5,'Annex 2 Designated EHV charges'!$D:$P,12,FALSE)=0,"",VLOOKUP($A5,'Annex 2 Designated EHV charges'!$D:$P,12,FALSE)),"")</f>
        <v/>
      </c>
      <c r="H5" s="100" t="str">
        <f>IFERROR(IF(VLOOKUP($A5,'Annex 2 Designated EHV charges'!$D:$P,13,FALSE)=0,"",VLOOKUP($A5,'Annex 2 Designated EHV charges'!$D:$P,13,FALSE)),"")</f>
        <v/>
      </c>
    </row>
    <row r="6" spans="1:15" x14ac:dyDescent="0.2">
      <c r="A6" s="98" t="str">
        <f t="array" ref="A6">IFERROR(INDEX('Annex 2 Designated EHV charges'!$D$11:$D$58, MATCH(0, IF(ISBLANK('Annex 2 Designated EHV charges'!$D$11:$D$58),1, COUNTIF(A$4:$A5, 'Annex 2 Designated EHV charges'!$D$11:$D$58)), 0)),"")</f>
        <v>NR_W25</v>
      </c>
      <c r="B6" s="97">
        <f>IF($A6="","",VLOOKUP($A6,'Annex 2 Designated EHV charges'!$D:$O,2,0))</f>
        <v>703</v>
      </c>
      <c r="C6" s="98">
        <f>IF($A6="","",VLOOKUP($A6,'Annex 2 Designated EHV charges'!$D:$O,3,0))</f>
        <v>1200052486866</v>
      </c>
      <c r="D6" s="97" t="str">
        <f>IF($A6="","",VLOOKUP($A6,'Annex 2 Designated EHV charges'!$D:$O,4,0))</f>
        <v>NR_W25</v>
      </c>
      <c r="E6" s="99" t="str">
        <f>IFERROR(IF(VLOOKUP($A6,'Annex 2 Designated EHV charges'!$D:$P,10,FALSE)=0,"",VLOOKUP($A6,'Annex 2 Designated EHV charges'!$D:$P,10,FALSE)),"")</f>
        <v/>
      </c>
      <c r="F6" s="209" t="str">
        <f>IFERROR(IF(VLOOKUP($A6,'Annex 2 Designated EHV charges'!$D:$P,11,FALSE)=0,"",VLOOKUP($A6,'Annex 2 Designated EHV charges'!$D:$P,11,FALSE)),"")</f>
        <v/>
      </c>
      <c r="G6" s="100" t="str">
        <f>IFERROR(IF(VLOOKUP($A6,'Annex 2 Designated EHV charges'!$D:$P,12,FALSE)=0,"",VLOOKUP($A6,'Annex 2 Designated EHV charges'!$D:$P,12,FALSE)),"")</f>
        <v/>
      </c>
      <c r="H6" s="100" t="str">
        <f>IFERROR(IF(VLOOKUP($A6,'Annex 2 Designated EHV charges'!$D:$P,13,FALSE)=0,"",VLOOKUP($A6,'Annex 2 Designated EHV charges'!$D:$P,13,FALSE)),"")</f>
        <v/>
      </c>
    </row>
    <row r="7" spans="1:15" x14ac:dyDescent="0.2">
      <c r="A7" s="98" t="str">
        <f t="array" ref="A7">IFERROR(INDEX('Annex 2 Designated EHV charges'!$D$11:$D$58, MATCH(0, IF(ISBLANK('Annex 2 Designated EHV charges'!$D$11:$D$58),1, COUNTIF(A$4:$A6, 'Annex 2 Designated EHV charges'!$D$11:$D$58)), 0)),"")</f>
        <v>NR_WES</v>
      </c>
      <c r="B7" s="97">
        <f>IF($A7="","",VLOOKUP($A7,'Annex 2 Designated EHV charges'!$D:$O,2,0))</f>
        <v>716</v>
      </c>
      <c r="C7" s="98">
        <f>IF($A7="","",VLOOKUP($A7,'Annex 2 Designated EHV charges'!$D:$O,3,0))</f>
        <v>1200052486875</v>
      </c>
      <c r="D7" s="97" t="str">
        <f>IF($A7="","",VLOOKUP($A7,'Annex 2 Designated EHV charges'!$D:$O,4,0))</f>
        <v>NR_WES</v>
      </c>
      <c r="E7" s="99" t="str">
        <f>IFERROR(IF(VLOOKUP($A7,'Annex 2 Designated EHV charges'!$D:$P,10,FALSE)=0,"",VLOOKUP($A7,'Annex 2 Designated EHV charges'!$D:$P,10,FALSE)),"")</f>
        <v/>
      </c>
      <c r="F7" s="209">
        <f>IFERROR(IF(VLOOKUP($A7,'Annex 2 Designated EHV charges'!$D:$P,11,FALSE)=0,"",VLOOKUP($A7,'Annex 2 Designated EHV charges'!$D:$P,11,FALSE)),"")</f>
        <v>631.91999999999996</v>
      </c>
      <c r="G7" s="100">
        <f>IFERROR(IF(VLOOKUP($A7,'Annex 2 Designated EHV charges'!$D:$P,12,FALSE)=0,"",VLOOKUP($A7,'Annex 2 Designated EHV charges'!$D:$P,12,FALSE)),"")</f>
        <v>0.05</v>
      </c>
      <c r="H7" s="100">
        <f>IFERROR(IF(VLOOKUP($A7,'Annex 2 Designated EHV charges'!$D:$P,13,FALSE)=0,"",VLOOKUP($A7,'Annex 2 Designated EHV charges'!$D:$P,13,FALSE)),"")</f>
        <v>0.05</v>
      </c>
    </row>
    <row r="8" spans="1:15" ht="51" x14ac:dyDescent="0.2">
      <c r="A8" s="98" t="str">
        <f t="array" ref="A8">IFERROR(INDEX('Annex 2 Designated EHV charges'!$D$11:$D$58, MATCH(0, IF(ISBLANK('Annex 2 Designated EHV charges'!$D$11:$D$58),1, COUNTIF(A$4:$A7, 'Annex 2 Designated EHV charges'!$D$11:$D$58)), 0)),"")</f>
        <v>THAMEB</v>
      </c>
      <c r="B8" s="97">
        <f>IF($A8="","",VLOOKUP($A8,'Annex 2 Designated EHV charges'!$D:$O,2,0))</f>
        <v>701</v>
      </c>
      <c r="C8" s="98" t="str">
        <f>IF($A8="","",VLOOKUP($A8,'Annex 2 Designated EHV charges'!$D:$O,3,0))</f>
        <v>1200050312030;1200050312040;1200061219394;1200050312059</v>
      </c>
      <c r="D8" s="97" t="str">
        <f>IF($A8="","",VLOOKUP($A8,'Annex 2 Designated EHV charges'!$D:$O,4,0))</f>
        <v>THAMEB</v>
      </c>
      <c r="E8" s="99" t="str">
        <f>IFERROR(IF(VLOOKUP($A8,'Annex 2 Designated EHV charges'!$D:$P,10,FALSE)=0,"",VLOOKUP($A8,'Annex 2 Designated EHV charges'!$D:$P,10,FALSE)),"")</f>
        <v/>
      </c>
      <c r="F8" s="209">
        <f>IFERROR(IF(VLOOKUP($A8,'Annex 2 Designated EHV charges'!$D:$P,11,FALSE)=0,"",VLOOKUP($A8,'Annex 2 Designated EHV charges'!$D:$P,11,FALSE)),"")</f>
        <v>1529.31</v>
      </c>
      <c r="G8" s="100">
        <f>IFERROR(IF(VLOOKUP($A8,'Annex 2 Designated EHV charges'!$D:$P,12,FALSE)=0,"",VLOOKUP($A8,'Annex 2 Designated EHV charges'!$D:$P,12,FALSE)),"")</f>
        <v>0.05</v>
      </c>
      <c r="H8" s="100">
        <f>IFERROR(IF(VLOOKUP($A8,'Annex 2 Designated EHV charges'!$D:$P,13,FALSE)=0,"",VLOOKUP($A8,'Annex 2 Designated EHV charges'!$D:$P,13,FALSE)),"")</f>
        <v>0.05</v>
      </c>
    </row>
    <row r="9" spans="1:15" ht="25.5" x14ac:dyDescent="0.2">
      <c r="A9" s="98" t="str">
        <f t="array" ref="A9">IFERROR(INDEX('Annex 2 Designated EHV charges'!$D$11:$D$58, MATCH(0, IF(ISBLANK('Annex 2 Designated EHV charges'!$D$11:$D$58),1, COUNTIF(A$4:$A8, 'Annex 2 Designated EHV charges'!$D$11:$D$58)), 0)),"")</f>
        <v>THAMEC</v>
      </c>
      <c r="B9" s="97">
        <f>IF($A9="","",VLOOKUP($A9,'Annex 2 Designated EHV charges'!$D:$O,2,0))</f>
        <v>702</v>
      </c>
      <c r="C9" s="98" t="str">
        <f>IF($A9="","",VLOOKUP($A9,'Annex 2 Designated EHV charges'!$D:$O,3,0))</f>
        <v>1200061171342;1200061171351</v>
      </c>
      <c r="D9" s="97" t="str">
        <f>IF($A9="","",VLOOKUP($A9,'Annex 2 Designated EHV charges'!$D:$O,4,0))</f>
        <v>THAMEC</v>
      </c>
      <c r="E9" s="99">
        <f>IFERROR(IF(VLOOKUP($A9,'Annex 2 Designated EHV charges'!$D:$P,10,FALSE)=0,"",VLOOKUP($A9,'Annex 2 Designated EHV charges'!$D:$P,10,FALSE)),"")</f>
        <v>-2E-3</v>
      </c>
      <c r="F9" s="209">
        <f>IFERROR(IF(VLOOKUP($A9,'Annex 2 Designated EHV charges'!$D:$P,11,FALSE)=0,"",VLOOKUP($A9,'Annex 2 Designated EHV charges'!$D:$P,11,FALSE)),"")</f>
        <v>2358.9899999999998</v>
      </c>
      <c r="G9" s="100">
        <f>IFERROR(IF(VLOOKUP($A9,'Annex 2 Designated EHV charges'!$D:$P,12,FALSE)=0,"",VLOOKUP($A9,'Annex 2 Designated EHV charges'!$D:$P,12,FALSE)),"")</f>
        <v>0.05</v>
      </c>
      <c r="H9" s="100">
        <f>IFERROR(IF(VLOOKUP($A9,'Annex 2 Designated EHV charges'!$D:$P,13,FALSE)=0,"",VLOOKUP($A9,'Annex 2 Designated EHV charges'!$D:$P,13,FALSE)),"")</f>
        <v>0.05</v>
      </c>
    </row>
    <row r="10" spans="1:15" x14ac:dyDescent="0.2">
      <c r="A10" s="98" t="str">
        <f t="array" ref="A10">IFERROR(INDEX('Annex 2 Designated EHV charges'!$D$11:$D$58, MATCH(0, IF(ISBLANK('Annex 2 Designated EHV charges'!$D$11:$D$58),1, COUNTIF(A$4:$A9, 'Annex 2 Designated EHV charges'!$D$11:$D$58)), 0)),"")</f>
        <v>BELVED</v>
      </c>
      <c r="B10" s="97">
        <f>IF($A10="","",VLOOKUP($A10,'Annex 2 Designated EHV charges'!$D:$O,2,0))</f>
        <v>711</v>
      </c>
      <c r="C10" s="98">
        <f>IF($A10="","",VLOOKUP($A10,'Annex 2 Designated EHV charges'!$D:$O,3,0))</f>
        <v>1200060787118</v>
      </c>
      <c r="D10" s="97" t="str">
        <f>IF($A10="","",VLOOKUP($A10,'Annex 2 Designated EHV charges'!$D:$O,4,0))</f>
        <v>BELVED</v>
      </c>
      <c r="E10" s="99" t="str">
        <f>IFERROR(IF(VLOOKUP($A10,'Annex 2 Designated EHV charges'!$D:$P,10,FALSE)=0,"",VLOOKUP($A10,'Annex 2 Designated EHV charges'!$D:$P,10,FALSE)),"")</f>
        <v/>
      </c>
      <c r="F10" s="209">
        <f>IFERROR(IF(VLOOKUP($A10,'Annex 2 Designated EHV charges'!$D:$P,11,FALSE)=0,"",VLOOKUP($A10,'Annex 2 Designated EHV charges'!$D:$P,11,FALSE)),"")</f>
        <v>1033.4000000000001</v>
      </c>
      <c r="G10" s="100">
        <f>IFERROR(IF(VLOOKUP($A10,'Annex 2 Designated EHV charges'!$D:$P,12,FALSE)=0,"",VLOOKUP($A10,'Annex 2 Designated EHV charges'!$D:$P,12,FALSE)),"")</f>
        <v>0.05</v>
      </c>
      <c r="H10" s="100">
        <f>IFERROR(IF(VLOOKUP($A10,'Annex 2 Designated EHV charges'!$D:$P,13,FALSE)=0,"",VLOOKUP($A10,'Annex 2 Designated EHV charges'!$D:$P,13,FALSE)),"")</f>
        <v>0.05</v>
      </c>
    </row>
    <row r="11" spans="1:15" x14ac:dyDescent="0.2">
      <c r="A11" s="98" t="str">
        <f t="array" ref="A11">IFERROR(INDEX('Annex 2 Designated EHV charges'!$D$11:$D$58, MATCH(0, IF(ISBLANK('Annex 2 Designated EHV charges'!$D$11:$D$58),1, COUNTIF(A$4:$A10, 'Annex 2 Designated EHV charges'!$D$11:$D$58)), 0)),"")</f>
        <v>SELCHP</v>
      </c>
      <c r="B11" s="97">
        <f>IF($A11="","",VLOOKUP($A11,'Annex 2 Designated EHV charges'!$D:$O,2,0))</f>
        <v>730</v>
      </c>
      <c r="C11" s="98">
        <f>IF($A11="","",VLOOKUP($A11,'Annex 2 Designated EHV charges'!$D:$O,3,0))</f>
        <v>1200010258304</v>
      </c>
      <c r="D11" s="97" t="str">
        <f>IF($A11="","",VLOOKUP($A11,'Annex 2 Designated EHV charges'!$D:$O,4,0))</f>
        <v>SELCHP</v>
      </c>
      <c r="E11" s="99">
        <f>IFERROR(IF(VLOOKUP($A11,'Annex 2 Designated EHV charges'!$D:$P,10,FALSE)=0,"",VLOOKUP($A11,'Annex 2 Designated EHV charges'!$D:$P,10,FALSE)),"")</f>
        <v>-0.30399999999999999</v>
      </c>
      <c r="F11" s="209">
        <f>IFERROR(IF(VLOOKUP($A11,'Annex 2 Designated EHV charges'!$D:$P,11,FALSE)=0,"",VLOOKUP($A11,'Annex 2 Designated EHV charges'!$D:$P,11,FALSE)),"")</f>
        <v>5121.3999999999996</v>
      </c>
      <c r="G11" s="100">
        <f>IFERROR(IF(VLOOKUP($A11,'Annex 2 Designated EHV charges'!$D:$P,12,FALSE)=0,"",VLOOKUP($A11,'Annex 2 Designated EHV charges'!$D:$P,12,FALSE)),"")</f>
        <v>0.05</v>
      </c>
      <c r="H11" s="100">
        <f>IFERROR(IF(VLOOKUP($A11,'Annex 2 Designated EHV charges'!$D:$P,13,FALSE)=0,"",VLOOKUP($A11,'Annex 2 Designated EHV charges'!$D:$P,13,FALSE)),"")</f>
        <v>0.05</v>
      </c>
    </row>
    <row r="12" spans="1:15" x14ac:dyDescent="0.2">
      <c r="A12" s="98" t="str">
        <f t="array" ref="A12">IFERROR(INDEX('Annex 2 Designated EHV charges'!$D$11:$D$58, MATCH(0, IF(ISBLANK('Annex 2 Designated EHV charges'!$D$11:$D$58),1, COUNTIF(A$4:$A11, 'Annex 2 Designated EHV charges'!$D$11:$D$58)), 0)),"")</f>
        <v>TLRSLN</v>
      </c>
      <c r="B12" s="97">
        <f>IF($A12="","",VLOOKUP($A12,'Annex 2 Designated EHV charges'!$D:$O,2,0))</f>
        <v>0</v>
      </c>
      <c r="C12" s="98" t="str">
        <f>IF($A12="","",VLOOKUP($A12,'Annex 2 Designated EHV charges'!$D:$O,3,0))</f>
        <v>MSID: 5538</v>
      </c>
      <c r="D12" s="97" t="str">
        <f>IF($A12="","",VLOOKUP($A12,'Annex 2 Designated EHV charges'!$D:$O,4,0))</f>
        <v>TLRSLN</v>
      </c>
      <c r="E12" s="99">
        <f>IFERROR(IF(VLOOKUP($A12,'Annex 2 Designated EHV charges'!$D:$P,10,FALSE)=0,"",VLOOKUP($A12,'Annex 2 Designated EHV charges'!$D:$P,10,FALSE)),"")</f>
        <v>-1.4E-2</v>
      </c>
      <c r="F12" s="209" t="str">
        <f>IFERROR(IF(VLOOKUP($A12,'Annex 2 Designated EHV charges'!$D:$P,11,FALSE)=0,"",VLOOKUP($A12,'Annex 2 Designated EHV charges'!$D:$P,11,FALSE)),"")</f>
        <v/>
      </c>
      <c r="G12" s="100">
        <f>IFERROR(IF(VLOOKUP($A12,'Annex 2 Designated EHV charges'!$D:$P,12,FALSE)=0,"",VLOOKUP($A12,'Annex 2 Designated EHV charges'!$D:$P,12,FALSE)),"")</f>
        <v>0.05</v>
      </c>
      <c r="H12" s="100">
        <f>IFERROR(IF(VLOOKUP($A12,'Annex 2 Designated EHV charges'!$D:$P,13,FALSE)=0,"",VLOOKUP($A12,'Annex 2 Designated EHV charges'!$D:$P,13,FALSE)),"")</f>
        <v>0.05</v>
      </c>
    </row>
    <row r="13" spans="1:15" x14ac:dyDescent="0.2">
      <c r="A13" s="53" t="str">
        <f t="array" ref="A13">IFERROR(INDEX('Annex 2 Designated EHV charges'!$D$11:$D$58, MATCH(0, IF(ISBLANK('Annex 2 Designated EHV charges'!$D$11:$D$58),1, COUNTIF(A$4:$A12, 'Annex 2 Designated EHV charges'!$D$11:$D$58)), 0)),"")</f>
        <v/>
      </c>
      <c r="B13" s="53" t="str">
        <f>IF($A13="","",VLOOKUP($A13,'Annex 2 Designated EHV charges'!$D:$O,2,0))</f>
        <v/>
      </c>
      <c r="C13" s="61" t="str">
        <f>IF($A13="","",VLOOKUP($A13,'Annex 2 Designated EHV charges'!$D:$O,3,0))</f>
        <v/>
      </c>
      <c r="D13" s="61" t="str">
        <f>IF($A13="","",VLOOKUP($A13,'Annex 2 Designated EHV charges'!$D:$O,4,0))</f>
        <v/>
      </c>
      <c r="E13" s="62" t="str">
        <f>IFERROR(IF(VLOOKUP($A13,'Annex 2 Designated EHV charges'!$D:$P,10,FALSE)=0,"",VLOOKUP($A13,'Annex 2 Designated EHV charges'!$D:$P,10,FALSE)),"")</f>
        <v/>
      </c>
      <c r="F13" s="63" t="str">
        <f>IFERROR(IF(VLOOKUP($A13,'Annex 2 Designated EHV charges'!$D:$P,11,FALSE)=0,"",VLOOKUP($A13,'Annex 2 Designated EHV charges'!$D:$P,11,FALSE)),"")</f>
        <v/>
      </c>
      <c r="G13" s="63" t="str">
        <f>IFERROR(IF(VLOOKUP($A13,'Annex 2 Designated EHV charges'!$D:$P,12,FALSE)=0,"",VLOOKUP($A13,'Annex 2 Designated EHV charges'!$D:$P,12,FALSE)),"")</f>
        <v/>
      </c>
      <c r="H13" s="53" t="str">
        <f>IFERROR(IF(VLOOKUP($A13,'Annex 2 Designated EHV charges'!$D:$P,13,FALSE)=0,"",VLOOKUP($A13,'Annex 2 Designated EHV charges'!$D:$P,13,FALSE)),"")</f>
        <v/>
      </c>
    </row>
    <row r="14" spans="1:15" x14ac:dyDescent="0.2">
      <c r="A14" s="53" t="str">
        <f t="array" ref="A14">IFERROR(INDEX('Annex 2 Designated EHV charges'!$D$11:$D$58, MATCH(0, IF(ISBLANK('Annex 2 Designated EHV charges'!$D$11:$D$58),1, COUNTIF(A$4:$A13, 'Annex 2 Designated EHV charges'!$D$11:$D$58)), 0)),"")</f>
        <v/>
      </c>
      <c r="B14" s="53" t="str">
        <f>IF($A14="","",VLOOKUP($A14,'Annex 2 Designated EHV charges'!$D:$O,2,0))</f>
        <v/>
      </c>
      <c r="C14" s="61" t="str">
        <f>IF($A14="","",VLOOKUP($A14,'Annex 2 Designated EHV charges'!$D:$O,3,0))</f>
        <v/>
      </c>
      <c r="D14" s="61" t="str">
        <f>IF($A14="","",VLOOKUP($A14,'Annex 2 Designated EHV charges'!$D:$O,4,0))</f>
        <v/>
      </c>
      <c r="E14" s="62" t="str">
        <f>IFERROR(IF(VLOOKUP($A14,'Annex 2 Designated EHV charges'!$D:$P,10,FALSE)=0,"",VLOOKUP($A14,'Annex 2 Designated EHV charges'!$D:$P,10,FALSE)),"")</f>
        <v/>
      </c>
      <c r="F14" s="63" t="str">
        <f>IFERROR(IF(VLOOKUP($A14,'Annex 2 Designated EHV charges'!$D:$P,11,FALSE)=0,"",VLOOKUP($A14,'Annex 2 Designated EHV charges'!$D:$P,11,FALSE)),"")</f>
        <v/>
      </c>
      <c r="G14" s="63" t="str">
        <f>IFERROR(IF(VLOOKUP($A14,'Annex 2 Designated EHV charges'!$D:$P,12,FALSE)=0,"",VLOOKUP($A14,'Annex 2 Designated EHV charges'!$D:$P,12,FALSE)),"")</f>
        <v/>
      </c>
      <c r="H14" s="53" t="str">
        <f>IFERROR(IF(VLOOKUP($A14,'Annex 2 Designated EHV charges'!$D:$P,13,FALSE)=0,"",VLOOKUP($A14,'Annex 2 Designated EHV charges'!$D:$P,13,FALSE)),"")</f>
        <v/>
      </c>
    </row>
    <row r="15" spans="1:15" x14ac:dyDescent="0.2">
      <c r="A15" s="53" t="str">
        <f t="array" ref="A15">IFERROR(INDEX('Annex 2 Designated EHV charges'!$D$11:$D$58, MATCH(0, IF(ISBLANK('Annex 2 Designated EHV charges'!$D$11:$D$58),1, COUNTIF(A$4:$A14, 'Annex 2 Designated EHV charges'!$D$11:$D$58)), 0)),"")</f>
        <v/>
      </c>
      <c r="B15" s="53" t="str">
        <f>IF($A15="","",VLOOKUP($A15,'Annex 2 Designated EHV charges'!$D:$O,2,0))</f>
        <v/>
      </c>
      <c r="C15" s="61" t="str">
        <f>IF($A15="","",VLOOKUP($A15,'Annex 2 Designated EHV charges'!$D:$O,3,0))</f>
        <v/>
      </c>
      <c r="D15" s="61" t="str">
        <f>IF($A15="","",VLOOKUP($A15,'Annex 2 Designated EHV charges'!$D:$O,4,0))</f>
        <v/>
      </c>
      <c r="E15" s="62" t="str">
        <f>IFERROR(IF(VLOOKUP($A15,'Annex 2 Designated EHV charges'!$D:$P,10,FALSE)=0,"",VLOOKUP($A15,'Annex 2 Designated EHV charges'!$D:$P,10,FALSE)),"")</f>
        <v/>
      </c>
      <c r="F15" s="63" t="str">
        <f>IFERROR(IF(VLOOKUP($A15,'Annex 2 Designated EHV charges'!$D:$P,11,FALSE)=0,"",VLOOKUP($A15,'Annex 2 Designated EHV charges'!$D:$P,11,FALSE)),"")</f>
        <v/>
      </c>
      <c r="G15" s="63" t="str">
        <f>IFERROR(IF(VLOOKUP($A15,'Annex 2 Designated EHV charges'!$D:$P,12,FALSE)=0,"",VLOOKUP($A15,'Annex 2 Designated EHV charges'!$D:$P,12,FALSE)),"")</f>
        <v/>
      </c>
      <c r="H15" s="53" t="str">
        <f>IFERROR(IF(VLOOKUP($A15,'Annex 2 Designated EHV charges'!$D:$P,13,FALSE)=0,"",VLOOKUP($A15,'Annex 2 Designated EHV charges'!$D:$P,13,FALSE)),"")</f>
        <v/>
      </c>
    </row>
    <row r="16" spans="1:15" x14ac:dyDescent="0.2">
      <c r="A16" s="53" t="str">
        <f t="array" ref="A16">IFERROR(INDEX('Annex 2 Designated EHV charges'!$D$11:$D$58, MATCH(0, IF(ISBLANK('Annex 2 Designated EHV charges'!$D$11:$D$58),1, COUNTIF(A$4:$A15, 'Annex 2 Designated EHV charges'!$D$11:$D$58)), 0)),"")</f>
        <v/>
      </c>
      <c r="B16" s="53" t="str">
        <f>IF($A16="","",VLOOKUP($A16,'Annex 2 Designated EHV charges'!$D:$O,2,0))</f>
        <v/>
      </c>
      <c r="C16" s="61" t="str">
        <f>IF($A16="","",VLOOKUP($A16,'Annex 2 Designated EHV charges'!$D:$O,3,0))</f>
        <v/>
      </c>
      <c r="D16" s="61" t="str">
        <f>IF($A16="","",VLOOKUP($A16,'Annex 2 Designated EHV charges'!$D:$O,4,0))</f>
        <v/>
      </c>
      <c r="E16" s="62" t="str">
        <f>IFERROR(IF(VLOOKUP($A16,'Annex 2 Designated EHV charges'!$D:$P,10,FALSE)=0,"",VLOOKUP($A16,'Annex 2 Designated EHV charges'!$D:$P,10,FALSE)),"")</f>
        <v/>
      </c>
      <c r="F16" s="63" t="str">
        <f>IFERROR(IF(VLOOKUP($A16,'Annex 2 Designated EHV charges'!$D:$P,11,FALSE)=0,"",VLOOKUP($A16,'Annex 2 Designated EHV charges'!$D:$P,11,FALSE)),"")</f>
        <v/>
      </c>
      <c r="G16" s="63" t="str">
        <f>IFERROR(IF(VLOOKUP($A16,'Annex 2 Designated EHV charges'!$D:$P,12,FALSE)=0,"",VLOOKUP($A16,'Annex 2 Designated EHV charges'!$D:$P,12,FALSE)),"")</f>
        <v/>
      </c>
      <c r="H16" s="53" t="str">
        <f>IFERROR(IF(VLOOKUP($A16,'Annex 2 Designated EHV charges'!$D:$P,13,FALSE)=0,"",VLOOKUP($A16,'Annex 2 Designated EHV charges'!$D:$P,13,FALSE)),"")</f>
        <v/>
      </c>
    </row>
    <row r="17" spans="1:8" x14ac:dyDescent="0.2">
      <c r="A17" s="53" t="str">
        <f t="array" ref="A17">IFERROR(INDEX('Annex 2 Designated EHV charges'!$D$11:$D$58, MATCH(0, IF(ISBLANK('Annex 2 Designated EHV charges'!$D$11:$D$58),1, COUNTIF(A$4:$A16, 'Annex 2 Designated EHV charges'!$D$11:$D$58)), 0)),"")</f>
        <v/>
      </c>
      <c r="B17" s="53" t="str">
        <f>IF($A17="","",VLOOKUP($A17,'Annex 2 Designated EHV charges'!$D:$O,2,0))</f>
        <v/>
      </c>
      <c r="C17" s="61" t="str">
        <f>IF($A17="","",VLOOKUP($A17,'Annex 2 Designated EHV charges'!$D:$O,3,0))</f>
        <v/>
      </c>
      <c r="D17" s="61" t="str">
        <f>IF($A17="","",VLOOKUP($A17,'Annex 2 Designated EHV charges'!$D:$O,4,0))</f>
        <v/>
      </c>
      <c r="E17" s="62" t="str">
        <f>IFERROR(IF(VLOOKUP($A17,'Annex 2 Designated EHV charges'!$D:$P,10,FALSE)=0,"",VLOOKUP($A17,'Annex 2 Designated EHV charges'!$D:$P,10,FALSE)),"")</f>
        <v/>
      </c>
      <c r="F17" s="63" t="str">
        <f>IFERROR(IF(VLOOKUP($A17,'Annex 2 Designated EHV charges'!$D:$P,11,FALSE)=0,"",VLOOKUP($A17,'Annex 2 Designated EHV charges'!$D:$P,11,FALSE)),"")</f>
        <v/>
      </c>
      <c r="G17" s="63" t="str">
        <f>IFERROR(IF(VLOOKUP($A17,'Annex 2 Designated EHV charges'!$D:$P,12,FALSE)=0,"",VLOOKUP($A17,'Annex 2 Designated EHV charges'!$D:$P,12,FALSE)),"")</f>
        <v/>
      </c>
      <c r="H17" s="53" t="str">
        <f>IFERROR(IF(VLOOKUP($A17,'Annex 2 Designated EHV charges'!$D:$P,13,FALSE)=0,"",VLOOKUP($A17,'Annex 2 Designated EHV charges'!$D:$P,13,FALSE)),"")</f>
        <v/>
      </c>
    </row>
    <row r="18" spans="1:8" x14ac:dyDescent="0.2">
      <c r="A18" s="53" t="str">
        <f t="array" ref="A18">IFERROR(INDEX('Annex 2 Designated EHV charges'!$D$11:$D$58, MATCH(0, IF(ISBLANK('Annex 2 Designated EHV charges'!$D$11:$D$58),1, COUNTIF(A$4:$A17, 'Annex 2 Designated EHV charges'!$D$11:$D$58)), 0)),"")</f>
        <v/>
      </c>
      <c r="B18" s="53" t="str">
        <f>IF($A18="","",VLOOKUP($A18,'Annex 2 Designated EHV charges'!$D:$O,2,0))</f>
        <v/>
      </c>
      <c r="C18" s="61" t="str">
        <f>IF($A18="","",VLOOKUP($A18,'Annex 2 Designated EHV charges'!$D:$O,3,0))</f>
        <v/>
      </c>
      <c r="D18" s="61" t="str">
        <f>IF($A18="","",VLOOKUP($A18,'Annex 2 Designated EHV charges'!$D:$O,4,0))</f>
        <v/>
      </c>
      <c r="E18" s="62" t="str">
        <f>IFERROR(IF(VLOOKUP($A18,'Annex 2 Designated EHV charges'!$D:$P,10,FALSE)=0,"",VLOOKUP($A18,'Annex 2 Designated EHV charges'!$D:$P,10,FALSE)),"")</f>
        <v/>
      </c>
      <c r="F18" s="63" t="str">
        <f>IFERROR(IF(VLOOKUP($A18,'Annex 2 Designated EHV charges'!$D:$P,11,FALSE)=0,"",VLOOKUP($A18,'Annex 2 Designated EHV charges'!$D:$P,11,FALSE)),"")</f>
        <v/>
      </c>
      <c r="G18" s="63" t="str">
        <f>IFERROR(IF(VLOOKUP($A18,'Annex 2 Designated EHV charges'!$D:$P,12,FALSE)=0,"",VLOOKUP($A18,'Annex 2 Designated EHV charges'!$D:$P,12,FALSE)),"")</f>
        <v/>
      </c>
      <c r="H18" s="53" t="str">
        <f>IFERROR(IF(VLOOKUP($A18,'Annex 2 Designated EHV charges'!$D:$P,13,FALSE)=0,"",VLOOKUP($A18,'Annex 2 Designated EHV charges'!$D:$P,13,FALSE)),"")</f>
        <v/>
      </c>
    </row>
    <row r="19" spans="1:8" x14ac:dyDescent="0.2">
      <c r="A19" s="53" t="str">
        <f t="array" ref="A19">IFERROR(INDEX('Annex 2 Designated EHV charges'!$D$11:$D$58, MATCH(0, IF(ISBLANK('Annex 2 Designated EHV charges'!$D$11:$D$58),1, COUNTIF(A$4:$A18, 'Annex 2 Designated EHV charges'!$D$11:$D$58)), 0)),"")</f>
        <v/>
      </c>
      <c r="B19" s="53" t="str">
        <f>IF($A19="","",VLOOKUP($A19,'Annex 2 Designated EHV charges'!$D:$O,2,0))</f>
        <v/>
      </c>
      <c r="C19" s="61" t="str">
        <f>IF($A19="","",VLOOKUP($A19,'Annex 2 Designated EHV charges'!$D:$O,3,0))</f>
        <v/>
      </c>
      <c r="D19" s="61" t="str">
        <f>IF($A19="","",VLOOKUP($A19,'Annex 2 Designated EHV charges'!$D:$O,4,0))</f>
        <v/>
      </c>
      <c r="E19" s="62" t="str">
        <f>IFERROR(IF(VLOOKUP($A19,'Annex 2 Designated EHV charges'!$D:$P,10,FALSE)=0,"",VLOOKUP($A19,'Annex 2 Designated EHV charges'!$D:$P,10,FALSE)),"")</f>
        <v/>
      </c>
      <c r="F19" s="63" t="str">
        <f>IFERROR(IF(VLOOKUP($A19,'Annex 2 Designated EHV charges'!$D:$P,11,FALSE)=0,"",VLOOKUP($A19,'Annex 2 Designated EHV charges'!$D:$P,11,FALSE)),"")</f>
        <v/>
      </c>
      <c r="G19" s="63" t="str">
        <f>IFERROR(IF(VLOOKUP($A19,'Annex 2 Designated EHV charges'!$D:$P,12,FALSE)=0,"",VLOOKUP($A19,'Annex 2 Designated EHV charges'!$D:$P,12,FALSE)),"")</f>
        <v/>
      </c>
      <c r="H19" s="53" t="str">
        <f>IFERROR(IF(VLOOKUP($A19,'Annex 2 Designated EHV charges'!$D:$P,13,FALSE)=0,"",VLOOKUP($A19,'Annex 2 Designated EHV charges'!$D:$P,13,FALSE)),"")</f>
        <v/>
      </c>
    </row>
    <row r="20" spans="1:8" x14ac:dyDescent="0.2">
      <c r="A20" s="53" t="str">
        <f t="array" ref="A20">IFERROR(INDEX('Annex 2 Designated EHV charges'!$D$11:$D$58, MATCH(0, IF(ISBLANK('Annex 2 Designated EHV charges'!$D$11:$D$58),1, COUNTIF(A$4:$A19, 'Annex 2 Designated EHV charges'!$D$11:$D$58)), 0)),"")</f>
        <v/>
      </c>
      <c r="B20" s="53" t="str">
        <f>IF($A20="","",VLOOKUP($A20,'Annex 2 Designated EHV charges'!$D:$O,2,0))</f>
        <v/>
      </c>
      <c r="C20" s="61" t="str">
        <f>IF($A20="","",VLOOKUP($A20,'Annex 2 Designated EHV charges'!$D:$O,3,0))</f>
        <v/>
      </c>
      <c r="D20" s="61" t="str">
        <f>IF($A20="","",VLOOKUP($A20,'Annex 2 Designated EHV charges'!$D:$O,4,0))</f>
        <v/>
      </c>
      <c r="E20" s="62" t="str">
        <f>IFERROR(IF(VLOOKUP($A20,'Annex 2 Designated EHV charges'!$D:$P,10,FALSE)=0,"",VLOOKUP($A20,'Annex 2 Designated EHV charges'!$D:$P,10,FALSE)),"")</f>
        <v/>
      </c>
      <c r="F20" s="63" t="str">
        <f>IFERROR(IF(VLOOKUP($A20,'Annex 2 Designated EHV charges'!$D:$P,11,FALSE)=0,"",VLOOKUP($A20,'Annex 2 Designated EHV charges'!$D:$P,11,FALSE)),"")</f>
        <v/>
      </c>
      <c r="G20" s="63" t="str">
        <f>IFERROR(IF(VLOOKUP($A20,'Annex 2 Designated EHV charges'!$D:$P,12,FALSE)=0,"",VLOOKUP($A20,'Annex 2 Designated EHV charges'!$D:$P,12,FALSE)),"")</f>
        <v/>
      </c>
      <c r="H20" s="53" t="str">
        <f>IFERROR(IF(VLOOKUP($A20,'Annex 2 Designated EHV charges'!$D:$P,13,FALSE)=0,"",VLOOKUP($A20,'Annex 2 Designated EHV charges'!$D:$P,13,FALSE)),"")</f>
        <v/>
      </c>
    </row>
    <row r="21" spans="1:8" x14ac:dyDescent="0.2">
      <c r="A21" s="53" t="str">
        <f t="array" ref="A21">IFERROR(INDEX('Annex 2 Designated EHV charges'!$D$11:$D$58, MATCH(0, IF(ISBLANK('Annex 2 Designated EHV charges'!$D$11:$D$58),1, COUNTIF(A$4:$A20, 'Annex 2 Designated EHV charges'!$D$11:$D$58)), 0)),"")</f>
        <v/>
      </c>
      <c r="B21" s="53" t="str">
        <f>IF($A21="","",VLOOKUP($A21,'Annex 2 Designated EHV charges'!$D:$O,2,0))</f>
        <v/>
      </c>
      <c r="C21" s="61" t="str">
        <f>IF($A21="","",VLOOKUP($A21,'Annex 2 Designated EHV charges'!$D:$O,3,0))</f>
        <v/>
      </c>
      <c r="D21" s="61" t="str">
        <f>IF($A21="","",VLOOKUP($A21,'Annex 2 Designated EHV charges'!$D:$O,4,0))</f>
        <v/>
      </c>
      <c r="E21" s="62" t="str">
        <f>IFERROR(IF(VLOOKUP($A21,'Annex 2 Designated EHV charges'!$D:$P,10,FALSE)=0,"",VLOOKUP($A21,'Annex 2 Designated EHV charges'!$D:$P,10,FALSE)),"")</f>
        <v/>
      </c>
      <c r="F21" s="63" t="str">
        <f>IFERROR(IF(VLOOKUP($A21,'Annex 2 Designated EHV charges'!$D:$P,11,FALSE)=0,"",VLOOKUP($A21,'Annex 2 Designated EHV charges'!$D:$P,11,FALSE)),"")</f>
        <v/>
      </c>
      <c r="G21" s="63" t="str">
        <f>IFERROR(IF(VLOOKUP($A21,'Annex 2 Designated EHV charges'!$D:$P,12,FALSE)=0,"",VLOOKUP($A21,'Annex 2 Designated EHV charges'!$D:$P,12,FALSE)),"")</f>
        <v/>
      </c>
      <c r="H21" s="53" t="str">
        <f>IFERROR(IF(VLOOKUP($A21,'Annex 2 Designated EHV charges'!$D:$P,13,FALSE)=0,"",VLOOKUP($A21,'Annex 2 Designated EHV charges'!$D:$P,13,FALSE)),"")</f>
        <v/>
      </c>
    </row>
    <row r="22" spans="1:8" x14ac:dyDescent="0.2">
      <c r="A22" s="53" t="str">
        <f t="array" ref="A22">IFERROR(INDEX('Annex 2 Designated EHV charges'!$D$11:$D$58, MATCH(0, IF(ISBLANK('Annex 2 Designated EHV charges'!$D$11:$D$58),1, COUNTIF(A$4:$A21, 'Annex 2 Designated EHV charges'!$D$11:$D$58)), 0)),"")</f>
        <v/>
      </c>
      <c r="B22" s="53" t="str">
        <f>IF($A22="","",VLOOKUP($A22,'Annex 2 Designated EHV charges'!$D:$O,2,0))</f>
        <v/>
      </c>
      <c r="C22" s="61" t="str">
        <f>IF($A22="","",VLOOKUP($A22,'Annex 2 Designated EHV charges'!$D:$O,3,0))</f>
        <v/>
      </c>
      <c r="D22" s="61" t="str">
        <f>IF($A22="","",VLOOKUP($A22,'Annex 2 Designated EHV charges'!$D:$O,4,0))</f>
        <v/>
      </c>
      <c r="E22" s="62" t="str">
        <f>IFERROR(IF(VLOOKUP($A22,'Annex 2 Designated EHV charges'!$D:$P,10,FALSE)=0,"",VLOOKUP($A22,'Annex 2 Designated EHV charges'!$D:$P,10,FALSE)),"")</f>
        <v/>
      </c>
      <c r="F22" s="63" t="str">
        <f>IFERROR(IF(VLOOKUP($A22,'Annex 2 Designated EHV charges'!$D:$P,11,FALSE)=0,"",VLOOKUP($A22,'Annex 2 Designated EHV charges'!$D:$P,11,FALSE)),"")</f>
        <v/>
      </c>
      <c r="G22" s="63" t="str">
        <f>IFERROR(IF(VLOOKUP($A22,'Annex 2 Designated EHV charges'!$D:$P,12,FALSE)=0,"",VLOOKUP($A22,'Annex 2 Designated EHV charges'!$D:$P,12,FALSE)),"")</f>
        <v/>
      </c>
      <c r="H22" s="53" t="str">
        <f>IFERROR(IF(VLOOKUP($A22,'Annex 2 Designated EHV charges'!$D:$P,13,FALSE)=0,"",VLOOKUP($A22,'Annex 2 Designated EHV charges'!$D:$P,13,FALSE)),"")</f>
        <v/>
      </c>
    </row>
    <row r="23" spans="1:8" x14ac:dyDescent="0.2">
      <c r="A23" s="53" t="str">
        <f t="array" ref="A23">IFERROR(INDEX('Annex 2 Designated EHV charges'!$D$11:$D$58, MATCH(0, IF(ISBLANK('Annex 2 Designated EHV charges'!$D$11:$D$58),1, COUNTIF(A$4:$A22, 'Annex 2 Designated EHV charges'!$D$11:$D$58)), 0)),"")</f>
        <v/>
      </c>
      <c r="B23" s="53" t="str">
        <f>IF($A23="","",VLOOKUP($A23,'Annex 2 Designated EHV charges'!$D:$O,2,0))</f>
        <v/>
      </c>
      <c r="C23" s="61" t="str">
        <f>IF($A23="","",VLOOKUP($A23,'Annex 2 Designated EHV charges'!$D:$O,3,0))</f>
        <v/>
      </c>
      <c r="D23" s="61" t="str">
        <f>IF($A23="","",VLOOKUP($A23,'Annex 2 Designated EHV charges'!$D:$O,4,0))</f>
        <v/>
      </c>
      <c r="E23" s="62" t="str">
        <f>IFERROR(IF(VLOOKUP($A23,'Annex 2 Designated EHV charges'!$D:$P,10,FALSE)=0,"",VLOOKUP($A23,'Annex 2 Designated EHV charges'!$D:$P,10,FALSE)),"")</f>
        <v/>
      </c>
      <c r="F23" s="63" t="str">
        <f>IFERROR(IF(VLOOKUP($A23,'Annex 2 Designated EHV charges'!$D:$P,11,FALSE)=0,"",VLOOKUP($A23,'Annex 2 Designated EHV charges'!$D:$P,11,FALSE)),"")</f>
        <v/>
      </c>
      <c r="G23" s="63" t="str">
        <f>IFERROR(IF(VLOOKUP($A23,'Annex 2 Designated EHV charges'!$D:$P,12,FALSE)=0,"",VLOOKUP($A23,'Annex 2 Designated EHV charges'!$D:$P,12,FALSE)),"")</f>
        <v/>
      </c>
      <c r="H23" s="53" t="str">
        <f>IFERROR(IF(VLOOKUP($A23,'Annex 2 Designated EHV charges'!$D:$P,13,FALSE)=0,"",VLOOKUP($A23,'Annex 2 Designated EHV charges'!$D:$P,13,FALSE)),"")</f>
        <v/>
      </c>
    </row>
    <row r="24" spans="1:8" x14ac:dyDescent="0.2">
      <c r="A24" s="53" t="str">
        <f t="array" ref="A24">IFERROR(INDEX('Annex 2 Designated EHV charges'!$D$11:$D$58, MATCH(0, IF(ISBLANK('Annex 2 Designated EHV charges'!$D$11:$D$58),1, COUNTIF(A$4:$A23, 'Annex 2 Designated EHV charges'!$D$11:$D$58)), 0)),"")</f>
        <v/>
      </c>
      <c r="B24" s="53" t="str">
        <f>IF($A24="","",VLOOKUP($A24,'Annex 2 Designated EHV charges'!$D:$O,2,0))</f>
        <v/>
      </c>
      <c r="C24" s="61" t="str">
        <f>IF($A24="","",VLOOKUP($A24,'Annex 2 Designated EHV charges'!$D:$O,3,0))</f>
        <v/>
      </c>
      <c r="D24" s="61" t="str">
        <f>IF($A24="","",VLOOKUP($A24,'Annex 2 Designated EHV charges'!$D:$O,4,0))</f>
        <v/>
      </c>
      <c r="E24" s="62" t="str">
        <f>IFERROR(IF(VLOOKUP($A24,'Annex 2 Designated EHV charges'!$D:$P,10,FALSE)=0,"",VLOOKUP($A24,'Annex 2 Designated EHV charges'!$D:$P,10,FALSE)),"")</f>
        <v/>
      </c>
      <c r="F24" s="63" t="str">
        <f>IFERROR(IF(VLOOKUP($A24,'Annex 2 Designated EHV charges'!$D:$P,11,FALSE)=0,"",VLOOKUP($A24,'Annex 2 Designated EHV charges'!$D:$P,11,FALSE)),"")</f>
        <v/>
      </c>
      <c r="G24" s="63" t="str">
        <f>IFERROR(IF(VLOOKUP($A24,'Annex 2 Designated EHV charges'!$D:$P,12,FALSE)=0,"",VLOOKUP($A24,'Annex 2 Designated EHV charges'!$D:$P,12,FALSE)),"")</f>
        <v/>
      </c>
      <c r="H24" s="53" t="str">
        <f>IFERROR(IF(VLOOKUP($A24,'Annex 2 Designated EHV charges'!$D:$P,13,FALSE)=0,"",VLOOKUP($A24,'Annex 2 Designated EHV charges'!$D:$P,13,FALSE)),"")</f>
        <v/>
      </c>
    </row>
    <row r="25" spans="1:8" x14ac:dyDescent="0.2">
      <c r="A25" s="53" t="str">
        <f t="array" ref="A25">IFERROR(INDEX('Annex 2 Designated EHV charges'!$D$11:$D$58, MATCH(0, IF(ISBLANK('Annex 2 Designated EHV charges'!$D$11:$D$58),1, COUNTIF(A$4:$A24, 'Annex 2 Designated EHV charges'!$D$11:$D$58)), 0)),"")</f>
        <v/>
      </c>
      <c r="B25" s="53" t="str">
        <f>IF($A25="","",VLOOKUP($A25,'Annex 2 Designated EHV charges'!$D:$O,2,0))</f>
        <v/>
      </c>
      <c r="C25" s="61" t="str">
        <f>IF($A25="","",VLOOKUP($A25,'Annex 2 Designated EHV charges'!$D:$O,3,0))</f>
        <v/>
      </c>
      <c r="D25" s="61" t="str">
        <f>IF($A25="","",VLOOKUP($A25,'Annex 2 Designated EHV charges'!$D:$O,4,0))</f>
        <v/>
      </c>
      <c r="E25" s="62" t="str">
        <f>IFERROR(IF(VLOOKUP($A25,'Annex 2 Designated EHV charges'!$D:$P,10,FALSE)=0,"",VLOOKUP($A25,'Annex 2 Designated EHV charges'!$D:$P,10,FALSE)),"")</f>
        <v/>
      </c>
      <c r="F25" s="63" t="str">
        <f>IFERROR(IF(VLOOKUP($A25,'Annex 2 Designated EHV charges'!$D:$P,11,FALSE)=0,"",VLOOKUP($A25,'Annex 2 Designated EHV charges'!$D:$P,11,FALSE)),"")</f>
        <v/>
      </c>
      <c r="G25" s="63" t="str">
        <f>IFERROR(IF(VLOOKUP($A25,'Annex 2 Designated EHV charges'!$D:$P,12,FALSE)=0,"",VLOOKUP($A25,'Annex 2 Designated EHV charges'!$D:$P,12,FALSE)),"")</f>
        <v/>
      </c>
      <c r="H25" s="53" t="str">
        <f>IFERROR(IF(VLOOKUP($A25,'Annex 2 Designated EHV charges'!$D:$P,13,FALSE)=0,"",VLOOKUP($A25,'Annex 2 Designated EHV charges'!$D:$P,13,FALSE)),"")</f>
        <v/>
      </c>
    </row>
    <row r="26" spans="1:8" x14ac:dyDescent="0.2">
      <c r="A26" s="53" t="str">
        <f t="array" ref="A26">IFERROR(INDEX('Annex 2 Designated EHV charges'!$D$11:$D$58, MATCH(0, IF(ISBLANK('Annex 2 Designated EHV charges'!$D$11:$D$58),1, COUNTIF(A$4:$A25, 'Annex 2 Designated EHV charges'!$D$11:$D$58)), 0)),"")</f>
        <v/>
      </c>
      <c r="B26" s="53" t="str">
        <f>IF($A26="","",VLOOKUP($A26,'Annex 2 Designated EHV charges'!$D:$O,2,0))</f>
        <v/>
      </c>
      <c r="C26" s="61" t="str">
        <f>IF($A26="","",VLOOKUP($A26,'Annex 2 Designated EHV charges'!$D:$O,3,0))</f>
        <v/>
      </c>
      <c r="D26" s="61" t="str">
        <f>IF($A26="","",VLOOKUP($A26,'Annex 2 Designated EHV charges'!$D:$O,4,0))</f>
        <v/>
      </c>
      <c r="E26" s="62" t="str">
        <f>IFERROR(IF(VLOOKUP($A26,'Annex 2 Designated EHV charges'!$D:$P,10,FALSE)=0,"",VLOOKUP($A26,'Annex 2 Designated EHV charges'!$D:$P,10,FALSE)),"")</f>
        <v/>
      </c>
      <c r="F26" s="63" t="str">
        <f>IFERROR(IF(VLOOKUP($A26,'Annex 2 Designated EHV charges'!$D:$P,11,FALSE)=0,"",VLOOKUP($A26,'Annex 2 Designated EHV charges'!$D:$P,11,FALSE)),"")</f>
        <v/>
      </c>
      <c r="G26" s="63" t="str">
        <f>IFERROR(IF(VLOOKUP($A26,'Annex 2 Designated EHV charges'!$D:$P,12,FALSE)=0,"",VLOOKUP($A26,'Annex 2 Designated EHV charges'!$D:$P,12,FALSE)),"")</f>
        <v/>
      </c>
      <c r="H26" s="53" t="str">
        <f>IFERROR(IF(VLOOKUP($A26,'Annex 2 Designated EHV charges'!$D:$P,13,FALSE)=0,"",VLOOKUP($A26,'Annex 2 Designated EHV charges'!$D:$P,13,FALSE)),"")</f>
        <v/>
      </c>
    </row>
    <row r="27" spans="1:8" x14ac:dyDescent="0.2">
      <c r="A27" s="53" t="str">
        <f t="array" ref="A27">IFERROR(INDEX('Annex 2 Designated EHV charges'!$D$11:$D$58, MATCH(0, IF(ISBLANK('Annex 2 Designated EHV charges'!$D$11:$D$58),1, COUNTIF(A$4:$A26, 'Annex 2 Designated EHV charges'!$D$11:$D$58)), 0)),"")</f>
        <v/>
      </c>
      <c r="B27" s="53" t="str">
        <f>IF($A27="","",VLOOKUP($A27,'Annex 2 Designated EHV charges'!$D:$O,2,0))</f>
        <v/>
      </c>
      <c r="C27" s="61" t="str">
        <f>IF($A27="","",VLOOKUP($A27,'Annex 2 Designated EHV charges'!$D:$O,3,0))</f>
        <v/>
      </c>
      <c r="D27" s="61" t="str">
        <f>IF($A27="","",VLOOKUP($A27,'Annex 2 Designated EHV charges'!$D:$O,4,0))</f>
        <v/>
      </c>
      <c r="E27" s="62" t="str">
        <f>IFERROR(IF(VLOOKUP($A27,'Annex 2 Designated EHV charges'!$D:$P,10,FALSE)=0,"",VLOOKUP($A27,'Annex 2 Designated EHV charges'!$D:$P,10,FALSE)),"")</f>
        <v/>
      </c>
      <c r="F27" s="63" t="str">
        <f>IFERROR(IF(VLOOKUP($A27,'Annex 2 Designated EHV charges'!$D:$P,11,FALSE)=0,"",VLOOKUP($A27,'Annex 2 Designated EHV charges'!$D:$P,11,FALSE)),"")</f>
        <v/>
      </c>
      <c r="G27" s="63" t="str">
        <f>IFERROR(IF(VLOOKUP($A27,'Annex 2 Designated EHV charges'!$D:$P,12,FALSE)=0,"",VLOOKUP($A27,'Annex 2 Designated EHV charges'!$D:$P,12,FALSE)),"")</f>
        <v/>
      </c>
      <c r="H27" s="53" t="str">
        <f>IFERROR(IF(VLOOKUP($A27,'Annex 2 Designated EHV charges'!$D:$P,13,FALSE)=0,"",VLOOKUP($A27,'Annex 2 Designated EHV charges'!$D:$P,13,FALSE)),"")</f>
        <v/>
      </c>
    </row>
    <row r="28" spans="1:8" x14ac:dyDescent="0.2">
      <c r="A28" s="53" t="str">
        <f t="array" ref="A28">IFERROR(INDEX('Annex 2 Designated EHV charges'!$D$11:$D$58, MATCH(0, IF(ISBLANK('Annex 2 Designated EHV charges'!$D$11:$D$58),1, COUNTIF(A$4:$A27, 'Annex 2 Designated EHV charges'!$D$11:$D$58)), 0)),"")</f>
        <v/>
      </c>
      <c r="B28" s="53" t="str">
        <f>IF($A28="","",VLOOKUP($A28,'Annex 2 Designated EHV charges'!$D:$O,2,0))</f>
        <v/>
      </c>
      <c r="C28" s="61" t="str">
        <f>IF($A28="","",VLOOKUP($A28,'Annex 2 Designated EHV charges'!$D:$O,3,0))</f>
        <v/>
      </c>
      <c r="D28" s="61" t="str">
        <f>IF($A28="","",VLOOKUP($A28,'Annex 2 Designated EHV charges'!$D:$O,4,0))</f>
        <v/>
      </c>
      <c r="E28" s="62" t="str">
        <f>IFERROR(IF(VLOOKUP($A28,'Annex 2 Designated EHV charges'!$D:$P,10,FALSE)=0,"",VLOOKUP($A28,'Annex 2 Designated EHV charges'!$D:$P,10,FALSE)),"")</f>
        <v/>
      </c>
      <c r="F28" s="63" t="str">
        <f>IFERROR(IF(VLOOKUP($A28,'Annex 2 Designated EHV charges'!$D:$P,11,FALSE)=0,"",VLOOKUP($A28,'Annex 2 Designated EHV charges'!$D:$P,11,FALSE)),"")</f>
        <v/>
      </c>
      <c r="G28" s="63" t="str">
        <f>IFERROR(IF(VLOOKUP($A28,'Annex 2 Designated EHV charges'!$D:$P,12,FALSE)=0,"",VLOOKUP($A28,'Annex 2 Designated EHV charges'!$D:$P,12,FALSE)),"")</f>
        <v/>
      </c>
      <c r="H28" s="53" t="str">
        <f>IFERROR(IF(VLOOKUP($A28,'Annex 2 Designated EHV charges'!$D:$P,13,FALSE)=0,"",VLOOKUP($A28,'Annex 2 Designated EHV charges'!$D:$P,13,FALSE)),"")</f>
        <v/>
      </c>
    </row>
    <row r="29" spans="1:8" x14ac:dyDescent="0.2">
      <c r="A29" s="53" t="str">
        <f t="array" ref="A29">IFERROR(INDEX('Annex 2 Designated EHV charges'!$D$11:$D$58, MATCH(0, IF(ISBLANK('Annex 2 Designated EHV charges'!$D$11:$D$58),1, COUNTIF(A$4:$A28, 'Annex 2 Designated EHV charges'!$D$11:$D$58)), 0)),"")</f>
        <v/>
      </c>
      <c r="B29" s="53" t="str">
        <f>IF($A29="","",VLOOKUP($A29,'Annex 2 Designated EHV charges'!$D:$O,2,0))</f>
        <v/>
      </c>
      <c r="C29" s="61" t="str">
        <f>IF($A29="","",VLOOKUP($A29,'Annex 2 Designated EHV charges'!$D:$O,3,0))</f>
        <v/>
      </c>
      <c r="D29" s="61" t="str">
        <f>IF($A29="","",VLOOKUP($A29,'Annex 2 Designated EHV charges'!$D:$O,4,0))</f>
        <v/>
      </c>
      <c r="E29" s="62" t="str">
        <f>IFERROR(IF(VLOOKUP($A29,'Annex 2 Designated EHV charges'!$D:$P,10,FALSE)=0,"",VLOOKUP($A29,'Annex 2 Designated EHV charges'!$D:$P,10,FALSE)),"")</f>
        <v/>
      </c>
      <c r="F29" s="63" t="str">
        <f>IFERROR(IF(VLOOKUP($A29,'Annex 2 Designated EHV charges'!$D:$P,11,FALSE)=0,"",VLOOKUP($A29,'Annex 2 Designated EHV charges'!$D:$P,11,FALSE)),"")</f>
        <v/>
      </c>
      <c r="G29" s="63" t="str">
        <f>IFERROR(IF(VLOOKUP($A29,'Annex 2 Designated EHV charges'!$D:$P,12,FALSE)=0,"",VLOOKUP($A29,'Annex 2 Designated EHV charges'!$D:$P,12,FALSE)),"")</f>
        <v/>
      </c>
      <c r="H29" s="53" t="str">
        <f>IFERROR(IF(VLOOKUP($A29,'Annex 2 Designated EHV charges'!$D:$P,13,FALSE)=0,"",VLOOKUP($A29,'Annex 2 Designated EHV charges'!$D:$P,13,FALSE)),"")</f>
        <v/>
      </c>
    </row>
    <row r="30" spans="1:8" x14ac:dyDescent="0.2">
      <c r="A30" s="53" t="str">
        <f t="array" ref="A30">IFERROR(INDEX('Annex 2 Designated EHV charges'!$D$11:$D$58, MATCH(0, IF(ISBLANK('Annex 2 Designated EHV charges'!$D$11:$D$58),1, COUNTIF(A$4:$A29, 'Annex 2 Designated EHV charges'!$D$11:$D$58)), 0)),"")</f>
        <v/>
      </c>
      <c r="B30" s="53" t="str">
        <f>IF($A30="","",VLOOKUP($A30,'Annex 2 Designated EHV charges'!$D:$O,2,0))</f>
        <v/>
      </c>
      <c r="C30" s="61" t="str">
        <f>IF($A30="","",VLOOKUP($A30,'Annex 2 Designated EHV charges'!$D:$O,3,0))</f>
        <v/>
      </c>
      <c r="D30" s="61" t="str">
        <f>IF($A30="","",VLOOKUP($A30,'Annex 2 Designated EHV charges'!$D:$O,4,0))</f>
        <v/>
      </c>
      <c r="E30" s="62" t="str">
        <f>IFERROR(IF(VLOOKUP($A30,'Annex 2 Designated EHV charges'!$D:$P,10,FALSE)=0,"",VLOOKUP($A30,'Annex 2 Designated EHV charges'!$D:$P,10,FALSE)),"")</f>
        <v/>
      </c>
      <c r="F30" s="63" t="str">
        <f>IFERROR(IF(VLOOKUP($A30,'Annex 2 Designated EHV charges'!$D:$P,11,FALSE)=0,"",VLOOKUP($A30,'Annex 2 Designated EHV charges'!$D:$P,11,FALSE)),"")</f>
        <v/>
      </c>
      <c r="G30" s="63" t="str">
        <f>IFERROR(IF(VLOOKUP($A30,'Annex 2 Designated EHV charges'!$D:$P,12,FALSE)=0,"",VLOOKUP($A30,'Annex 2 Designated EHV charges'!$D:$P,12,FALSE)),"")</f>
        <v/>
      </c>
      <c r="H30" s="53" t="str">
        <f>IFERROR(IF(VLOOKUP($A30,'Annex 2 Designated EHV charges'!$D:$P,13,FALSE)=0,"",VLOOKUP($A30,'Annex 2 Designated EHV charges'!$D:$P,13,FALSE)),"")</f>
        <v/>
      </c>
    </row>
    <row r="31" spans="1:8" x14ac:dyDescent="0.2">
      <c r="A31" s="53" t="str">
        <f t="array" ref="A31">IFERROR(INDEX('Annex 2 Designated EHV charges'!$D$11:$D$58, MATCH(0, IF(ISBLANK('Annex 2 Designated EHV charges'!$D$11:$D$58),1, COUNTIF(A$4:$A30, 'Annex 2 Designated EHV charges'!$D$11:$D$58)), 0)),"")</f>
        <v/>
      </c>
      <c r="B31" s="53" t="str">
        <f>IF($A31="","",VLOOKUP($A31,'Annex 2 Designated EHV charges'!$D:$O,2,0))</f>
        <v/>
      </c>
      <c r="C31" s="61" t="str">
        <f>IF($A31="","",VLOOKUP($A31,'Annex 2 Designated EHV charges'!$D:$O,3,0))</f>
        <v/>
      </c>
      <c r="D31" s="61" t="str">
        <f>IF($A31="","",VLOOKUP($A31,'Annex 2 Designated EHV charges'!$D:$O,4,0))</f>
        <v/>
      </c>
      <c r="E31" s="62" t="str">
        <f>IFERROR(IF(VLOOKUP($A31,'Annex 2 Designated EHV charges'!$D:$P,10,FALSE)=0,"",VLOOKUP($A31,'Annex 2 Designated EHV charges'!$D:$P,10,FALSE)),"")</f>
        <v/>
      </c>
      <c r="F31" s="63" t="str">
        <f>IFERROR(IF(VLOOKUP($A31,'Annex 2 Designated EHV charges'!$D:$P,11,FALSE)=0,"",VLOOKUP($A31,'Annex 2 Designated EHV charges'!$D:$P,11,FALSE)),"")</f>
        <v/>
      </c>
      <c r="G31" s="63" t="str">
        <f>IFERROR(IF(VLOOKUP($A31,'Annex 2 Designated EHV charges'!$D:$P,12,FALSE)=0,"",VLOOKUP($A31,'Annex 2 Designated EHV charges'!$D:$P,12,FALSE)),"")</f>
        <v/>
      </c>
      <c r="H31" s="53" t="str">
        <f>IFERROR(IF(VLOOKUP($A31,'Annex 2 Designated EHV charges'!$D:$P,13,FALSE)=0,"",VLOOKUP($A31,'Annex 2 Designated EHV charges'!$D:$P,13,FALSE)),"")</f>
        <v/>
      </c>
    </row>
    <row r="32" spans="1:8" x14ac:dyDescent="0.2">
      <c r="A32" s="53" t="str">
        <f t="array" ref="A32">IFERROR(INDEX('Annex 2 Designated EHV charges'!$D$11:$D$58, MATCH(0, IF(ISBLANK('Annex 2 Designated EHV charges'!$D$11:$D$58),1, COUNTIF(A$4:$A31, 'Annex 2 Designated EHV charges'!$D$11:$D$58)), 0)),"")</f>
        <v/>
      </c>
      <c r="B32" s="53" t="str">
        <f>IF($A32="","",VLOOKUP($A32,'Annex 2 Designated EHV charges'!$D:$O,2,0))</f>
        <v/>
      </c>
      <c r="C32" s="61" t="str">
        <f>IF($A32="","",VLOOKUP($A32,'Annex 2 Designated EHV charges'!$D:$O,3,0))</f>
        <v/>
      </c>
      <c r="D32" s="61" t="str">
        <f>IF($A32="","",VLOOKUP($A32,'Annex 2 Designated EHV charges'!$D:$O,4,0))</f>
        <v/>
      </c>
      <c r="E32" s="62" t="str">
        <f>IFERROR(IF(VLOOKUP($A32,'Annex 2 Designated EHV charges'!$D:$P,10,FALSE)=0,"",VLOOKUP($A32,'Annex 2 Designated EHV charges'!$D:$P,10,FALSE)),"")</f>
        <v/>
      </c>
      <c r="F32" s="63" t="str">
        <f>IFERROR(IF(VLOOKUP($A32,'Annex 2 Designated EHV charges'!$D:$P,11,FALSE)=0,"",VLOOKUP($A32,'Annex 2 Designated EHV charges'!$D:$P,11,FALSE)),"")</f>
        <v/>
      </c>
      <c r="G32" s="63" t="str">
        <f>IFERROR(IF(VLOOKUP($A32,'Annex 2 Designated EHV charges'!$D:$P,12,FALSE)=0,"",VLOOKUP($A32,'Annex 2 Designated EHV charges'!$D:$P,12,FALSE)),"")</f>
        <v/>
      </c>
      <c r="H32" s="53" t="str">
        <f>IFERROR(IF(VLOOKUP($A32,'Annex 2 Designated EHV charges'!$D:$P,13,FALSE)=0,"",VLOOKUP($A32,'Annex 2 Designated EHV charges'!$D:$P,13,FALSE)),"")</f>
        <v/>
      </c>
    </row>
    <row r="33" spans="1:8" x14ac:dyDescent="0.2">
      <c r="A33" s="53" t="str">
        <f t="array" ref="A33">IFERROR(INDEX('Annex 2 Designated EHV charges'!$D$11:$D$58, MATCH(0, IF(ISBLANK('Annex 2 Designated EHV charges'!$D$11:$D$58),1, COUNTIF(A$4:$A32, 'Annex 2 Designated EHV charges'!$D$11:$D$58)), 0)),"")</f>
        <v/>
      </c>
      <c r="B33" s="53" t="str">
        <f>IF($A33="","",VLOOKUP($A33,'Annex 2 Designated EHV charges'!$D:$O,2,0))</f>
        <v/>
      </c>
      <c r="C33" s="61" t="str">
        <f>IF($A33="","",VLOOKUP($A33,'Annex 2 Designated EHV charges'!$D:$O,3,0))</f>
        <v/>
      </c>
      <c r="D33" s="61" t="str">
        <f>IF($A33="","",VLOOKUP($A33,'Annex 2 Designated EHV charges'!$D:$O,4,0))</f>
        <v/>
      </c>
      <c r="E33" s="62" t="str">
        <f>IFERROR(IF(VLOOKUP($A33,'Annex 2 Designated EHV charges'!$D:$P,10,FALSE)=0,"",VLOOKUP($A33,'Annex 2 Designated EHV charges'!$D:$P,10,FALSE)),"")</f>
        <v/>
      </c>
      <c r="F33" s="63" t="str">
        <f>IFERROR(IF(VLOOKUP($A33,'Annex 2 Designated EHV charges'!$D:$P,11,FALSE)=0,"",VLOOKUP($A33,'Annex 2 Designated EHV charges'!$D:$P,11,FALSE)),"")</f>
        <v/>
      </c>
      <c r="G33" s="63" t="str">
        <f>IFERROR(IF(VLOOKUP($A33,'Annex 2 Designated EHV charges'!$D:$P,12,FALSE)=0,"",VLOOKUP($A33,'Annex 2 Designated EHV charges'!$D:$P,12,FALSE)),"")</f>
        <v/>
      </c>
      <c r="H33" s="53" t="str">
        <f>IFERROR(IF(VLOOKUP($A33,'Annex 2 Designated EHV charges'!$D:$P,13,FALSE)=0,"",VLOOKUP($A33,'Annex 2 Designated EHV charges'!$D:$P,13,FALSE)),"")</f>
        <v/>
      </c>
    </row>
    <row r="34" spans="1:8" x14ac:dyDescent="0.2">
      <c r="A34" s="53" t="str">
        <f t="array" ref="A34">IFERROR(INDEX('Annex 2 Designated EHV charges'!$D$11:$D$58, MATCH(0, IF(ISBLANK('Annex 2 Designated EHV charges'!$D$11:$D$58),1, COUNTIF(A$4:$A33, 'Annex 2 Designated EHV charges'!$D$11:$D$58)), 0)),"")</f>
        <v/>
      </c>
      <c r="B34" s="53" t="str">
        <f>IF($A34="","",VLOOKUP($A34,'Annex 2 Designated EHV charges'!$D:$O,2,0))</f>
        <v/>
      </c>
      <c r="C34" s="61" t="str">
        <f>IF($A34="","",VLOOKUP($A34,'Annex 2 Designated EHV charges'!$D:$O,3,0))</f>
        <v/>
      </c>
      <c r="D34" s="61" t="str">
        <f>IF($A34="","",VLOOKUP($A34,'Annex 2 Designated EHV charges'!$D:$O,4,0))</f>
        <v/>
      </c>
      <c r="E34" s="62" t="str">
        <f>IFERROR(IF(VLOOKUP($A34,'Annex 2 Designated EHV charges'!$D:$P,10,FALSE)=0,"",VLOOKUP($A34,'Annex 2 Designated EHV charges'!$D:$P,10,FALSE)),"")</f>
        <v/>
      </c>
      <c r="F34" s="63" t="str">
        <f>IFERROR(IF(VLOOKUP($A34,'Annex 2 Designated EHV charges'!$D:$P,11,FALSE)=0,"",VLOOKUP($A34,'Annex 2 Designated EHV charges'!$D:$P,11,FALSE)),"")</f>
        <v/>
      </c>
      <c r="G34" s="63" t="str">
        <f>IFERROR(IF(VLOOKUP($A34,'Annex 2 Designated EHV charges'!$D:$P,12,FALSE)=0,"",VLOOKUP($A34,'Annex 2 Designated EHV charges'!$D:$P,12,FALSE)),"")</f>
        <v/>
      </c>
      <c r="H34" s="53" t="str">
        <f>IFERROR(IF(VLOOKUP($A34,'Annex 2 Designated EHV charges'!$D:$P,13,FALSE)=0,"",VLOOKUP($A34,'Annex 2 Designated EHV charges'!$D:$P,13,FALSE)),"")</f>
        <v/>
      </c>
    </row>
    <row r="35" spans="1:8" x14ac:dyDescent="0.2">
      <c r="A35" s="53" t="str">
        <f t="array" ref="A35">IFERROR(INDEX('Annex 2 Designated EHV charges'!$D$11:$D$58, MATCH(0, IF(ISBLANK('Annex 2 Designated EHV charges'!$D$11:$D$58),1, COUNTIF(A$4:$A34, 'Annex 2 Designated EHV charges'!$D$11:$D$58)), 0)),"")</f>
        <v/>
      </c>
      <c r="B35" s="53" t="str">
        <f>IF($A35="","",VLOOKUP($A35,'Annex 2 Designated EHV charges'!$D:$O,2,0))</f>
        <v/>
      </c>
      <c r="C35" s="61" t="str">
        <f>IF($A35="","",VLOOKUP($A35,'Annex 2 Designated EHV charges'!$D:$O,3,0))</f>
        <v/>
      </c>
      <c r="D35" s="61" t="str">
        <f>IF($A35="","",VLOOKUP($A35,'Annex 2 Designated EHV charges'!$D:$O,4,0))</f>
        <v/>
      </c>
      <c r="E35" s="62" t="str">
        <f>IFERROR(IF(VLOOKUP($A35,'Annex 2 Designated EHV charges'!$D:$P,10,FALSE)=0,"",VLOOKUP($A35,'Annex 2 Designated EHV charges'!$D:$P,10,FALSE)),"")</f>
        <v/>
      </c>
      <c r="F35" s="63" t="str">
        <f>IFERROR(IF(VLOOKUP($A35,'Annex 2 Designated EHV charges'!$D:$P,11,FALSE)=0,"",VLOOKUP($A35,'Annex 2 Designated EHV charges'!$D:$P,11,FALSE)),"")</f>
        <v/>
      </c>
      <c r="G35" s="63" t="str">
        <f>IFERROR(IF(VLOOKUP($A35,'Annex 2 Designated EHV charges'!$D:$P,12,FALSE)=0,"",VLOOKUP($A35,'Annex 2 Designated EHV charges'!$D:$P,12,FALSE)),"")</f>
        <v/>
      </c>
      <c r="H35" s="53" t="str">
        <f>IFERROR(IF(VLOOKUP($A35,'Annex 2 Designated EHV charges'!$D:$P,13,FALSE)=0,"",VLOOKUP($A35,'Annex 2 Designated EHV charges'!$D:$P,13,FALSE)),"")</f>
        <v/>
      </c>
    </row>
    <row r="36" spans="1:8" x14ac:dyDescent="0.2">
      <c r="A36" s="53" t="str">
        <f t="array" ref="A36">IFERROR(INDEX('Annex 2 Designated EHV charges'!$D$11:$D$58, MATCH(0, IF(ISBLANK('Annex 2 Designated EHV charges'!$D$11:$D$58),1, COUNTIF(A$4:$A35, 'Annex 2 Designated EHV charges'!$D$11:$D$58)), 0)),"")</f>
        <v/>
      </c>
      <c r="B36" s="53" t="str">
        <f>IF($A36="","",VLOOKUP($A36,'Annex 2 Designated EHV charges'!$D:$O,2,0))</f>
        <v/>
      </c>
      <c r="C36" s="61" t="str">
        <f>IF($A36="","",VLOOKUP($A36,'Annex 2 Designated EHV charges'!$D:$O,3,0))</f>
        <v/>
      </c>
      <c r="D36" s="61" t="str">
        <f>IF($A36="","",VLOOKUP($A36,'Annex 2 Designated EHV charges'!$D:$O,4,0))</f>
        <v/>
      </c>
      <c r="E36" s="62" t="str">
        <f>IFERROR(IF(VLOOKUP($A36,'Annex 2 Designated EHV charges'!$D:$P,10,FALSE)=0,"",VLOOKUP($A36,'Annex 2 Designated EHV charges'!$D:$P,10,FALSE)),"")</f>
        <v/>
      </c>
      <c r="F36" s="63" t="str">
        <f>IFERROR(IF(VLOOKUP($A36,'Annex 2 Designated EHV charges'!$D:$P,11,FALSE)=0,"",VLOOKUP($A36,'Annex 2 Designated EHV charges'!$D:$P,11,FALSE)),"")</f>
        <v/>
      </c>
      <c r="G36" s="63" t="str">
        <f>IFERROR(IF(VLOOKUP($A36,'Annex 2 Designated EHV charges'!$D:$P,12,FALSE)=0,"",VLOOKUP($A36,'Annex 2 Designated EHV charges'!$D:$P,12,FALSE)),"")</f>
        <v/>
      </c>
      <c r="H36" s="53" t="str">
        <f>IFERROR(IF(VLOOKUP($A36,'Annex 2 Designated EHV charges'!$D:$P,13,FALSE)=0,"",VLOOKUP($A36,'Annex 2 Designated EHV charges'!$D:$P,13,FALSE)),"")</f>
        <v/>
      </c>
    </row>
    <row r="37" spans="1:8" x14ac:dyDescent="0.2">
      <c r="A37" s="53" t="str">
        <f t="array" ref="A37">IFERROR(INDEX('Annex 2 Designated EHV charges'!$D$11:$D$58, MATCH(0, IF(ISBLANK('Annex 2 Designated EHV charges'!$D$11:$D$58),1, COUNTIF(A$4:$A36, 'Annex 2 Designated EHV charges'!$D$11:$D$58)), 0)),"")</f>
        <v/>
      </c>
      <c r="B37" s="53" t="str">
        <f>IF($A37="","",VLOOKUP($A37,'Annex 2 Designated EHV charges'!$D:$O,2,0))</f>
        <v/>
      </c>
      <c r="C37" s="61" t="str">
        <f>IF($A37="","",VLOOKUP($A37,'Annex 2 Designated EHV charges'!$D:$O,3,0))</f>
        <v/>
      </c>
      <c r="D37" s="61" t="str">
        <f>IF($A37="","",VLOOKUP($A37,'Annex 2 Designated EHV charges'!$D:$O,4,0))</f>
        <v/>
      </c>
      <c r="E37" s="62" t="str">
        <f>IFERROR(IF(VLOOKUP($A37,'Annex 2 Designated EHV charges'!$D:$P,10,FALSE)=0,"",VLOOKUP($A37,'Annex 2 Designated EHV charges'!$D:$P,10,FALSE)),"")</f>
        <v/>
      </c>
      <c r="F37" s="63" t="str">
        <f>IFERROR(IF(VLOOKUP($A37,'Annex 2 Designated EHV charges'!$D:$P,11,FALSE)=0,"",VLOOKUP($A37,'Annex 2 Designated EHV charges'!$D:$P,11,FALSE)),"")</f>
        <v/>
      </c>
      <c r="G37" s="63" t="str">
        <f>IFERROR(IF(VLOOKUP($A37,'Annex 2 Designated EHV charges'!$D:$P,12,FALSE)=0,"",VLOOKUP($A37,'Annex 2 Designated EHV charges'!$D:$P,12,FALSE)),"")</f>
        <v/>
      </c>
      <c r="H37" s="53" t="str">
        <f>IFERROR(IF(VLOOKUP($A37,'Annex 2 Designated EHV charges'!$D:$P,13,FALSE)=0,"",VLOOKUP($A37,'Annex 2 Designated EHV charges'!$D:$P,13,FALSE)),"")</f>
        <v/>
      </c>
    </row>
    <row r="38" spans="1:8" x14ac:dyDescent="0.2">
      <c r="A38" s="53" t="str">
        <f t="array" ref="A38">IFERROR(INDEX('Annex 2 Designated EHV charges'!$D$11:$D$58, MATCH(0, IF(ISBLANK('Annex 2 Designated EHV charges'!$D$11:$D$58),1, COUNTIF(A$4:$A37, 'Annex 2 Designated EHV charges'!$D$11:$D$58)), 0)),"")</f>
        <v/>
      </c>
      <c r="B38" s="53" t="str">
        <f>IF($A38="","",VLOOKUP($A38,'Annex 2 Designated EHV charges'!$D:$O,2,0))</f>
        <v/>
      </c>
      <c r="C38" s="61" t="str">
        <f>IF($A38="","",VLOOKUP($A38,'Annex 2 Designated EHV charges'!$D:$O,3,0))</f>
        <v/>
      </c>
      <c r="D38" s="61" t="str">
        <f>IF($A38="","",VLOOKUP($A38,'Annex 2 Designated EHV charges'!$D:$O,4,0))</f>
        <v/>
      </c>
      <c r="E38" s="62" t="str">
        <f>IFERROR(IF(VLOOKUP($A38,'Annex 2 Designated EHV charges'!$D:$P,10,FALSE)=0,"",VLOOKUP($A38,'Annex 2 Designated EHV charges'!$D:$P,10,FALSE)),"")</f>
        <v/>
      </c>
      <c r="F38" s="63" t="str">
        <f>IFERROR(IF(VLOOKUP($A38,'Annex 2 Designated EHV charges'!$D:$P,11,FALSE)=0,"",VLOOKUP($A38,'Annex 2 Designated EHV charges'!$D:$P,11,FALSE)),"")</f>
        <v/>
      </c>
      <c r="G38" s="63" t="str">
        <f>IFERROR(IF(VLOOKUP($A38,'Annex 2 Designated EHV charges'!$D:$P,12,FALSE)=0,"",VLOOKUP($A38,'Annex 2 Designated EHV charges'!$D:$P,12,FALSE)),"")</f>
        <v/>
      </c>
      <c r="H38" s="53" t="str">
        <f>IFERROR(IF(VLOOKUP($A38,'Annex 2 Designated EHV charges'!$D:$P,13,FALSE)=0,"",VLOOKUP($A38,'Annex 2 Designated EHV charges'!$D:$P,13,FALSE)),"")</f>
        <v/>
      </c>
    </row>
    <row r="39" spans="1:8" x14ac:dyDescent="0.2">
      <c r="A39" s="53" t="str">
        <f t="array" ref="A39">IFERROR(INDEX('Annex 2 Designated EHV charges'!$D$11:$D$58, MATCH(0, IF(ISBLANK('Annex 2 Designated EHV charges'!$D$11:$D$58),1, COUNTIF(A$4:$A38, 'Annex 2 Designated EHV charges'!$D$11:$D$58)), 0)),"")</f>
        <v/>
      </c>
      <c r="B39" s="53" t="str">
        <f>IF($A39="","",VLOOKUP($A39,'Annex 2 Designated EHV charges'!$D:$O,2,0))</f>
        <v/>
      </c>
      <c r="C39" s="61" t="str">
        <f>IF($A39="","",VLOOKUP($A39,'Annex 2 Designated EHV charges'!$D:$O,3,0))</f>
        <v/>
      </c>
      <c r="D39" s="61" t="str">
        <f>IF($A39="","",VLOOKUP($A39,'Annex 2 Designated EHV charges'!$D:$O,4,0))</f>
        <v/>
      </c>
      <c r="E39" s="62" t="str">
        <f>IFERROR(IF(VLOOKUP($A39,'Annex 2 Designated EHV charges'!$D:$P,10,FALSE)=0,"",VLOOKUP($A39,'Annex 2 Designated EHV charges'!$D:$P,10,FALSE)),"")</f>
        <v/>
      </c>
      <c r="F39" s="63" t="str">
        <f>IFERROR(IF(VLOOKUP($A39,'Annex 2 Designated EHV charges'!$D:$P,11,FALSE)=0,"",VLOOKUP($A39,'Annex 2 Designated EHV charges'!$D:$P,11,FALSE)),"")</f>
        <v/>
      </c>
      <c r="G39" s="63" t="str">
        <f>IFERROR(IF(VLOOKUP($A39,'Annex 2 Designated EHV charges'!$D:$P,12,FALSE)=0,"",VLOOKUP($A39,'Annex 2 Designated EHV charges'!$D:$P,12,FALSE)),"")</f>
        <v/>
      </c>
      <c r="H39" s="53" t="str">
        <f>IFERROR(IF(VLOOKUP($A39,'Annex 2 Designated EHV charges'!$D:$P,13,FALSE)=0,"",VLOOKUP($A39,'Annex 2 Designated EHV charges'!$D:$P,13,FALSE)),"")</f>
        <v/>
      </c>
    </row>
    <row r="40" spans="1:8" x14ac:dyDescent="0.2">
      <c r="A40" s="53" t="str">
        <f t="array" ref="A40">IFERROR(INDEX('Annex 2 Designated EHV charges'!$D$11:$D$58, MATCH(0, IF(ISBLANK('Annex 2 Designated EHV charges'!$D$11:$D$58),1, COUNTIF(A$4:$A39, 'Annex 2 Designated EHV charges'!$D$11:$D$58)), 0)),"")</f>
        <v/>
      </c>
      <c r="B40" s="53" t="str">
        <f>IF($A40="","",VLOOKUP($A40,'Annex 2 Designated EHV charges'!$D:$O,2,0))</f>
        <v/>
      </c>
      <c r="C40" s="61" t="str">
        <f>IF($A40="","",VLOOKUP($A40,'Annex 2 Designated EHV charges'!$D:$O,3,0))</f>
        <v/>
      </c>
      <c r="D40" s="61" t="str">
        <f>IF($A40="","",VLOOKUP($A40,'Annex 2 Designated EHV charges'!$D:$O,4,0))</f>
        <v/>
      </c>
      <c r="E40" s="62" t="str">
        <f>IFERROR(IF(VLOOKUP($A40,'Annex 2 Designated EHV charges'!$D:$P,10,FALSE)=0,"",VLOOKUP($A40,'Annex 2 Designated EHV charges'!$D:$P,10,FALSE)),"")</f>
        <v/>
      </c>
      <c r="F40" s="63" t="str">
        <f>IFERROR(IF(VLOOKUP($A40,'Annex 2 Designated EHV charges'!$D:$P,11,FALSE)=0,"",VLOOKUP($A40,'Annex 2 Designated EHV charges'!$D:$P,11,FALSE)),"")</f>
        <v/>
      </c>
      <c r="G40" s="63" t="str">
        <f>IFERROR(IF(VLOOKUP($A40,'Annex 2 Designated EHV charges'!$D:$P,12,FALSE)=0,"",VLOOKUP($A40,'Annex 2 Designated EHV charges'!$D:$P,12,FALSE)),"")</f>
        <v/>
      </c>
      <c r="H40" s="53" t="str">
        <f>IFERROR(IF(VLOOKUP($A40,'Annex 2 Designated EHV charges'!$D:$P,13,FALSE)=0,"",VLOOKUP($A40,'Annex 2 Designated EHV charges'!$D:$P,13,FALSE)),"")</f>
        <v/>
      </c>
    </row>
    <row r="41" spans="1:8" x14ac:dyDescent="0.2">
      <c r="A41" s="53" t="str">
        <f t="array" ref="A41">IFERROR(INDEX('Annex 2 Designated EHV charges'!$D$11:$D$58, MATCH(0, IF(ISBLANK('Annex 2 Designated EHV charges'!$D$11:$D$58),1, COUNTIF(A$4:$A40, 'Annex 2 Designated EHV charges'!$D$11:$D$58)), 0)),"")</f>
        <v/>
      </c>
      <c r="B41" s="53" t="str">
        <f>IF($A41="","",VLOOKUP($A41,'Annex 2 Designated EHV charges'!$D:$O,2,0))</f>
        <v/>
      </c>
      <c r="C41" s="61" t="str">
        <f>IF($A41="","",VLOOKUP($A41,'Annex 2 Designated EHV charges'!$D:$O,3,0))</f>
        <v/>
      </c>
      <c r="D41" s="61" t="str">
        <f>IF($A41="","",VLOOKUP($A41,'Annex 2 Designated EHV charges'!$D:$O,4,0))</f>
        <v/>
      </c>
      <c r="E41" s="62" t="str">
        <f>IFERROR(IF(VLOOKUP($A41,'Annex 2 Designated EHV charges'!$D:$P,10,FALSE)=0,"",VLOOKUP($A41,'Annex 2 Designated EHV charges'!$D:$P,10,FALSE)),"")</f>
        <v/>
      </c>
      <c r="F41" s="63" t="str">
        <f>IFERROR(IF(VLOOKUP($A41,'Annex 2 Designated EHV charges'!$D:$P,11,FALSE)=0,"",VLOOKUP($A41,'Annex 2 Designated EHV charges'!$D:$P,11,FALSE)),"")</f>
        <v/>
      </c>
      <c r="G41" s="63" t="str">
        <f>IFERROR(IF(VLOOKUP($A41,'Annex 2 Designated EHV charges'!$D:$P,12,FALSE)=0,"",VLOOKUP($A41,'Annex 2 Designated EHV charges'!$D:$P,12,FALSE)),"")</f>
        <v/>
      </c>
      <c r="H41" s="53" t="str">
        <f>IFERROR(IF(VLOOKUP($A41,'Annex 2 Designated EHV charges'!$D:$P,13,FALSE)=0,"",VLOOKUP($A41,'Annex 2 Designated EHV charges'!$D:$P,13,FALSE)),"")</f>
        <v/>
      </c>
    </row>
    <row r="42" spans="1:8" x14ac:dyDescent="0.2">
      <c r="A42" s="53" t="str">
        <f t="array" ref="A42">IFERROR(INDEX('Annex 2 Designated EHV charges'!$D$11:$D$58, MATCH(0, IF(ISBLANK('Annex 2 Designated EHV charges'!$D$11:$D$58),1, COUNTIF(A$4:$A41, 'Annex 2 Designated EHV charges'!$D$11:$D$58)), 0)),"")</f>
        <v/>
      </c>
      <c r="B42" s="53" t="str">
        <f>IF($A42="","",VLOOKUP($A42,'Annex 2 Designated EHV charges'!$D:$O,2,0))</f>
        <v/>
      </c>
      <c r="C42" s="61" t="str">
        <f>IF($A42="","",VLOOKUP($A42,'Annex 2 Designated EHV charges'!$D:$O,3,0))</f>
        <v/>
      </c>
      <c r="D42" s="61" t="str">
        <f>IF($A42="","",VLOOKUP($A42,'Annex 2 Designated EHV charges'!$D:$O,4,0))</f>
        <v/>
      </c>
      <c r="E42" s="62" t="str">
        <f>IFERROR(IF(VLOOKUP($A42,'Annex 2 Designated EHV charges'!$D:$P,10,FALSE)=0,"",VLOOKUP($A42,'Annex 2 Designated EHV charges'!$D:$P,10,FALSE)),"")</f>
        <v/>
      </c>
      <c r="F42" s="63" t="str">
        <f>IFERROR(IF(VLOOKUP($A42,'Annex 2 Designated EHV charges'!$D:$P,11,FALSE)=0,"",VLOOKUP($A42,'Annex 2 Designated EHV charges'!$D:$P,11,FALSE)),"")</f>
        <v/>
      </c>
      <c r="G42" s="63" t="str">
        <f>IFERROR(IF(VLOOKUP($A42,'Annex 2 Designated EHV charges'!$D:$P,12,FALSE)=0,"",VLOOKUP($A42,'Annex 2 Designated EHV charges'!$D:$P,12,FALSE)),"")</f>
        <v/>
      </c>
      <c r="H42" s="53" t="str">
        <f>IFERROR(IF(VLOOKUP($A42,'Annex 2 Designated EHV charges'!$D:$P,13,FALSE)=0,"",VLOOKUP($A42,'Annex 2 Designated EHV charges'!$D:$P,13,FALSE)),"")</f>
        <v/>
      </c>
    </row>
    <row r="43" spans="1:8" x14ac:dyDescent="0.2">
      <c r="A43" s="53" t="str">
        <f t="array" ref="A43">IFERROR(INDEX('Annex 2 Designated EHV charges'!$D$11:$D$58, MATCH(0, IF(ISBLANK('Annex 2 Designated EHV charges'!$D$11:$D$58),1, COUNTIF(A$4:$A42, 'Annex 2 Designated EHV charges'!$D$11:$D$58)), 0)),"")</f>
        <v/>
      </c>
      <c r="B43" s="53" t="str">
        <f>IF($A43="","",VLOOKUP($A43,'Annex 2 Designated EHV charges'!$D:$O,2,0))</f>
        <v/>
      </c>
      <c r="C43" s="61" t="str">
        <f>IF($A43="","",VLOOKUP($A43,'Annex 2 Designated EHV charges'!$D:$O,3,0))</f>
        <v/>
      </c>
      <c r="D43" s="61" t="str">
        <f>IF($A43="","",VLOOKUP($A43,'Annex 2 Designated EHV charges'!$D:$O,4,0))</f>
        <v/>
      </c>
      <c r="E43" s="62" t="str">
        <f>IFERROR(IF(VLOOKUP($A43,'Annex 2 Designated EHV charges'!$D:$P,10,FALSE)=0,"",VLOOKUP($A43,'Annex 2 Designated EHV charges'!$D:$P,10,FALSE)),"")</f>
        <v/>
      </c>
      <c r="F43" s="63" t="str">
        <f>IFERROR(IF(VLOOKUP($A43,'Annex 2 Designated EHV charges'!$D:$P,11,FALSE)=0,"",VLOOKUP($A43,'Annex 2 Designated EHV charges'!$D:$P,11,FALSE)),"")</f>
        <v/>
      </c>
      <c r="G43" s="63" t="str">
        <f>IFERROR(IF(VLOOKUP($A43,'Annex 2 Designated EHV charges'!$D:$P,12,FALSE)=0,"",VLOOKUP($A43,'Annex 2 Designated EHV charges'!$D:$P,12,FALSE)),"")</f>
        <v/>
      </c>
      <c r="H43" s="53" t="str">
        <f>IFERROR(IF(VLOOKUP($A43,'Annex 2 Designated EHV charges'!$D:$P,13,FALSE)=0,"",VLOOKUP($A43,'Annex 2 Designated EHV charges'!$D:$P,13,FALSE)),"")</f>
        <v/>
      </c>
    </row>
    <row r="44" spans="1:8" x14ac:dyDescent="0.2">
      <c r="A44" s="53" t="str">
        <f t="array" ref="A44">IFERROR(INDEX('Annex 2 Designated EHV charges'!$D$11:$D$58, MATCH(0, IF(ISBLANK('Annex 2 Designated EHV charges'!$D$11:$D$58),1, COUNTIF(A$4:$A43, 'Annex 2 Designated EHV charges'!$D$11:$D$58)), 0)),"")</f>
        <v/>
      </c>
      <c r="B44" s="53" t="str">
        <f>IF($A44="","",VLOOKUP($A44,'Annex 2 Designated EHV charges'!$D:$O,2,0))</f>
        <v/>
      </c>
      <c r="C44" s="61" t="str">
        <f>IF($A44="","",VLOOKUP($A44,'Annex 2 Designated EHV charges'!$D:$O,3,0))</f>
        <v/>
      </c>
      <c r="D44" s="61" t="str">
        <f>IF($A44="","",VLOOKUP($A44,'Annex 2 Designated EHV charges'!$D:$O,4,0))</f>
        <v/>
      </c>
      <c r="E44" s="62" t="str">
        <f>IFERROR(IF(VLOOKUP($A44,'Annex 2 Designated EHV charges'!$D:$P,10,FALSE)=0,"",VLOOKUP($A44,'Annex 2 Designated EHV charges'!$D:$P,10,FALSE)),"")</f>
        <v/>
      </c>
      <c r="F44" s="63" t="str">
        <f>IFERROR(IF(VLOOKUP($A44,'Annex 2 Designated EHV charges'!$D:$P,11,FALSE)=0,"",VLOOKUP($A44,'Annex 2 Designated EHV charges'!$D:$P,11,FALSE)),"")</f>
        <v/>
      </c>
      <c r="G44" s="63" t="str">
        <f>IFERROR(IF(VLOOKUP($A44,'Annex 2 Designated EHV charges'!$D:$P,12,FALSE)=0,"",VLOOKUP($A44,'Annex 2 Designated EHV charges'!$D:$P,12,FALSE)),"")</f>
        <v/>
      </c>
      <c r="H44" s="53" t="str">
        <f>IFERROR(IF(VLOOKUP($A44,'Annex 2 Designated EHV charges'!$D:$P,13,FALSE)=0,"",VLOOKUP($A44,'Annex 2 Designated EHV charges'!$D:$P,13,FALSE)),"")</f>
        <v/>
      </c>
    </row>
    <row r="45" spans="1:8" x14ac:dyDescent="0.2">
      <c r="A45" s="53" t="str">
        <f t="array" ref="A45">IFERROR(INDEX('Annex 2 Designated EHV charges'!$D$11:$D$58, MATCH(0, IF(ISBLANK('Annex 2 Designated EHV charges'!$D$11:$D$58),1, COUNTIF(A$4:$A44, 'Annex 2 Designated EHV charges'!$D$11:$D$58)), 0)),"")</f>
        <v/>
      </c>
      <c r="B45" s="53" t="str">
        <f>IF($A45="","",VLOOKUP($A45,'Annex 2 Designated EHV charges'!$D:$O,2,0))</f>
        <v/>
      </c>
      <c r="C45" s="61" t="str">
        <f>IF($A45="","",VLOOKUP($A45,'Annex 2 Designated EHV charges'!$D:$O,3,0))</f>
        <v/>
      </c>
      <c r="D45" s="61" t="str">
        <f>IF($A45="","",VLOOKUP($A45,'Annex 2 Designated EHV charges'!$D:$O,4,0))</f>
        <v/>
      </c>
      <c r="E45" s="62" t="str">
        <f>IFERROR(IF(VLOOKUP($A45,'Annex 2 Designated EHV charges'!$D:$P,10,FALSE)=0,"",VLOOKUP($A45,'Annex 2 Designated EHV charges'!$D:$P,10,FALSE)),"")</f>
        <v/>
      </c>
      <c r="F45" s="63" t="str">
        <f>IFERROR(IF(VLOOKUP($A45,'Annex 2 Designated EHV charges'!$D:$P,11,FALSE)=0,"",VLOOKUP($A45,'Annex 2 Designated EHV charges'!$D:$P,11,FALSE)),"")</f>
        <v/>
      </c>
      <c r="G45" s="63" t="str">
        <f>IFERROR(IF(VLOOKUP($A45,'Annex 2 Designated EHV charges'!$D:$P,12,FALSE)=0,"",VLOOKUP($A45,'Annex 2 Designated EHV charges'!$D:$P,12,FALSE)),"")</f>
        <v/>
      </c>
      <c r="H45" s="53" t="str">
        <f>IFERROR(IF(VLOOKUP($A45,'Annex 2 Designated EHV charges'!$D:$P,13,FALSE)=0,"",VLOOKUP($A45,'Annex 2 Designated EHV charges'!$D:$P,13,FALSE)),"")</f>
        <v/>
      </c>
    </row>
    <row r="46" spans="1:8" x14ac:dyDescent="0.2">
      <c r="A46" s="53" t="str">
        <f t="array" ref="A46">IFERROR(INDEX('Annex 2 Designated EHV charges'!$D$11:$D$58, MATCH(0, IF(ISBLANK('Annex 2 Designated EHV charges'!$D$11:$D$58),1, COUNTIF(A$4:$A45, 'Annex 2 Designated EHV charges'!$D$11:$D$58)), 0)),"")</f>
        <v/>
      </c>
      <c r="B46" s="53" t="str">
        <f>IF($A46="","",VLOOKUP($A46,'Annex 2 Designated EHV charges'!$D:$O,2,0))</f>
        <v/>
      </c>
      <c r="C46" s="61" t="str">
        <f>IF($A46="","",VLOOKUP($A46,'Annex 2 Designated EHV charges'!$D:$O,3,0))</f>
        <v/>
      </c>
      <c r="D46" s="61" t="str">
        <f>IF($A46="","",VLOOKUP($A46,'Annex 2 Designated EHV charges'!$D:$O,4,0))</f>
        <v/>
      </c>
      <c r="E46" s="62" t="str">
        <f>IFERROR(IF(VLOOKUP($A46,'Annex 2 Designated EHV charges'!$D:$P,10,FALSE)=0,"",VLOOKUP($A46,'Annex 2 Designated EHV charges'!$D:$P,10,FALSE)),"")</f>
        <v/>
      </c>
      <c r="F46" s="63" t="str">
        <f>IFERROR(IF(VLOOKUP($A46,'Annex 2 Designated EHV charges'!$D:$P,11,FALSE)=0,"",VLOOKUP($A46,'Annex 2 Designated EHV charges'!$D:$P,11,FALSE)),"")</f>
        <v/>
      </c>
      <c r="G46" s="63" t="str">
        <f>IFERROR(IF(VLOOKUP($A46,'Annex 2 Designated EHV charges'!$D:$P,12,FALSE)=0,"",VLOOKUP($A46,'Annex 2 Designated EHV charges'!$D:$P,12,FALSE)),"")</f>
        <v/>
      </c>
      <c r="H46" s="53" t="str">
        <f>IFERROR(IF(VLOOKUP($A46,'Annex 2 Designated EHV charges'!$D:$P,13,FALSE)=0,"",VLOOKUP($A46,'Annex 2 Designated EHV charges'!$D:$P,13,FALSE)),"")</f>
        <v/>
      </c>
    </row>
    <row r="47" spans="1:8" x14ac:dyDescent="0.2">
      <c r="A47" s="53" t="str">
        <f t="array" ref="A47">IFERROR(INDEX('Annex 2 Designated EHV charges'!$D$11:$D$58, MATCH(0, IF(ISBLANK('Annex 2 Designated EHV charges'!$D$11:$D$58),1, COUNTIF(A$4:$A46, 'Annex 2 Designated EHV charges'!$D$11:$D$58)), 0)),"")</f>
        <v/>
      </c>
      <c r="B47" s="53" t="str">
        <f>IF($A47="","",VLOOKUP($A47,'Annex 2 Designated EHV charges'!$D:$O,2,0))</f>
        <v/>
      </c>
      <c r="C47" s="61" t="str">
        <f>IF($A47="","",VLOOKUP($A47,'Annex 2 Designated EHV charges'!$D:$O,3,0))</f>
        <v/>
      </c>
      <c r="D47" s="61" t="str">
        <f>IF($A47="","",VLOOKUP($A47,'Annex 2 Designated EHV charges'!$D:$O,4,0))</f>
        <v/>
      </c>
      <c r="E47" s="62" t="str">
        <f>IFERROR(IF(VLOOKUP($A47,'Annex 2 Designated EHV charges'!$D:$P,10,FALSE)=0,"",VLOOKUP($A47,'Annex 2 Designated EHV charges'!$D:$P,10,FALSE)),"")</f>
        <v/>
      </c>
      <c r="F47" s="63" t="str">
        <f>IFERROR(IF(VLOOKUP($A47,'Annex 2 Designated EHV charges'!$D:$P,11,FALSE)=0,"",VLOOKUP($A47,'Annex 2 Designated EHV charges'!$D:$P,11,FALSE)),"")</f>
        <v/>
      </c>
      <c r="G47" s="63" t="str">
        <f>IFERROR(IF(VLOOKUP($A47,'Annex 2 Designated EHV charges'!$D:$P,12,FALSE)=0,"",VLOOKUP($A47,'Annex 2 Designated EHV charges'!$D:$P,12,FALSE)),"")</f>
        <v/>
      </c>
      <c r="H47" s="53" t="str">
        <f>IFERROR(IF(VLOOKUP($A47,'Annex 2 Designated EHV charges'!$D:$P,13,FALSE)=0,"",VLOOKUP($A47,'Annex 2 Designated EHV charges'!$D:$P,13,FALSE)),"")</f>
        <v/>
      </c>
    </row>
    <row r="48" spans="1:8" x14ac:dyDescent="0.2">
      <c r="A48" s="53" t="str">
        <f t="array" ref="A48">IFERROR(INDEX('Annex 2 Designated EHV charges'!$D$11:$D$58, MATCH(0, IF(ISBLANK('Annex 2 Designated EHV charges'!$D$11:$D$58),1, COUNTIF(A$4:$A47, 'Annex 2 Designated EHV charges'!$D$11:$D$58)), 0)),"")</f>
        <v/>
      </c>
      <c r="B48" s="53" t="str">
        <f>IF($A48="","",VLOOKUP($A48,'Annex 2 Designated EHV charges'!$D:$O,2,0))</f>
        <v/>
      </c>
      <c r="C48" s="61" t="str">
        <f>IF($A48="","",VLOOKUP($A48,'Annex 2 Designated EHV charges'!$D:$O,3,0))</f>
        <v/>
      </c>
      <c r="D48" s="61" t="str">
        <f>IF($A48="","",VLOOKUP($A48,'Annex 2 Designated EHV charges'!$D:$O,4,0))</f>
        <v/>
      </c>
      <c r="E48" s="62" t="str">
        <f>IFERROR(IF(VLOOKUP($A48,'Annex 2 Designated EHV charges'!$D:$P,10,FALSE)=0,"",VLOOKUP($A48,'Annex 2 Designated EHV charges'!$D:$P,10,FALSE)),"")</f>
        <v/>
      </c>
      <c r="F48" s="63" t="str">
        <f>IFERROR(IF(VLOOKUP($A48,'Annex 2 Designated EHV charges'!$D:$P,11,FALSE)=0,"",VLOOKUP($A48,'Annex 2 Designated EHV charges'!$D:$P,11,FALSE)),"")</f>
        <v/>
      </c>
      <c r="G48" s="63" t="str">
        <f>IFERROR(IF(VLOOKUP($A48,'Annex 2 Designated EHV charges'!$D:$P,12,FALSE)=0,"",VLOOKUP($A48,'Annex 2 Designated EHV charges'!$D:$P,12,FALSE)),"")</f>
        <v/>
      </c>
      <c r="H48" s="53" t="str">
        <f>IFERROR(IF(VLOOKUP($A48,'Annex 2 Designated EHV charges'!$D:$P,13,FALSE)=0,"",VLOOKUP($A48,'Annex 2 Designated EHV charges'!$D:$P,13,FALSE)),"")</f>
        <v/>
      </c>
    </row>
    <row r="49" spans="1:8" x14ac:dyDescent="0.2">
      <c r="A49" s="53" t="str">
        <f t="array" ref="A49">IFERROR(INDEX('Annex 2 Designated EHV charges'!$D$11:$D$58, MATCH(0, IF(ISBLANK('Annex 2 Designated EHV charges'!$D$11:$D$58),1, COUNTIF(A$4:$A48, 'Annex 2 Designated EHV charges'!$D$11:$D$58)), 0)),"")</f>
        <v/>
      </c>
      <c r="B49" s="53" t="str">
        <f>IF($A49="","",VLOOKUP($A49,'Annex 2 Designated EHV charges'!$D:$O,2,0))</f>
        <v/>
      </c>
      <c r="C49" s="61" t="str">
        <f>IF($A49="","",VLOOKUP($A49,'Annex 2 Designated EHV charges'!$D:$O,3,0))</f>
        <v/>
      </c>
      <c r="D49" s="61" t="str">
        <f>IF($A49="","",VLOOKUP($A49,'Annex 2 Designated EHV charges'!$D:$O,4,0))</f>
        <v/>
      </c>
      <c r="E49" s="62" t="str">
        <f>IFERROR(IF(VLOOKUP($A49,'Annex 2 Designated EHV charges'!$D:$P,10,FALSE)=0,"",VLOOKUP($A49,'Annex 2 Designated EHV charges'!$D:$P,10,FALSE)),"")</f>
        <v/>
      </c>
      <c r="F49" s="63" t="str">
        <f>IFERROR(IF(VLOOKUP($A49,'Annex 2 Designated EHV charges'!$D:$P,11,FALSE)=0,"",VLOOKUP($A49,'Annex 2 Designated EHV charges'!$D:$P,11,FALSE)),"")</f>
        <v/>
      </c>
      <c r="G49" s="63" t="str">
        <f>IFERROR(IF(VLOOKUP($A49,'Annex 2 Designated EHV charges'!$D:$P,12,FALSE)=0,"",VLOOKUP($A49,'Annex 2 Designated EHV charges'!$D:$P,12,FALSE)),"")</f>
        <v/>
      </c>
      <c r="H49" s="53" t="str">
        <f>IFERROR(IF(VLOOKUP($A49,'Annex 2 Designated EHV charges'!$D:$P,13,FALSE)=0,"",VLOOKUP($A49,'Annex 2 Designated EHV charges'!$D:$P,13,FALSE)),"")</f>
        <v/>
      </c>
    </row>
    <row r="50" spans="1:8" x14ac:dyDescent="0.2">
      <c r="A50" s="53" t="str">
        <f t="array" ref="A50">IFERROR(INDEX('Annex 2 Designated EHV charges'!$D$11:$D$58, MATCH(0, IF(ISBLANK('Annex 2 Designated EHV charges'!$D$11:$D$58),1, COUNTIF(A$4:$A49, 'Annex 2 Designated EHV charges'!$D$11:$D$58)), 0)),"")</f>
        <v/>
      </c>
      <c r="B50" s="53" t="str">
        <f>IF($A50="","",VLOOKUP($A50,'Annex 2 Designated EHV charges'!$D:$O,2,0))</f>
        <v/>
      </c>
      <c r="C50" s="61" t="str">
        <f>IF($A50="","",VLOOKUP($A50,'Annex 2 Designated EHV charges'!$D:$O,3,0))</f>
        <v/>
      </c>
      <c r="D50" s="61" t="str">
        <f>IF($A50="","",VLOOKUP($A50,'Annex 2 Designated EHV charges'!$D:$O,4,0))</f>
        <v/>
      </c>
      <c r="E50" s="62" t="str">
        <f>IFERROR(IF(VLOOKUP($A50,'Annex 2 Designated EHV charges'!$D:$P,10,FALSE)=0,"",VLOOKUP($A50,'Annex 2 Designated EHV charges'!$D:$P,10,FALSE)),"")</f>
        <v/>
      </c>
      <c r="F50" s="63" t="str">
        <f>IFERROR(IF(VLOOKUP($A50,'Annex 2 Designated EHV charges'!$D:$P,11,FALSE)=0,"",VLOOKUP($A50,'Annex 2 Designated EHV charges'!$D:$P,11,FALSE)),"")</f>
        <v/>
      </c>
      <c r="G50" s="63" t="str">
        <f>IFERROR(IF(VLOOKUP($A50,'Annex 2 Designated EHV charges'!$D:$P,12,FALSE)=0,"",VLOOKUP($A50,'Annex 2 Designated EHV charges'!$D:$P,12,FALSE)),"")</f>
        <v/>
      </c>
      <c r="H50" s="53" t="str">
        <f>IFERROR(IF(VLOOKUP($A50,'Annex 2 Designated EHV charges'!$D:$P,13,FALSE)=0,"",VLOOKUP($A50,'Annex 2 Designated EHV charges'!$D:$P,13,FALSE)),"")</f>
        <v/>
      </c>
    </row>
    <row r="51" spans="1:8" x14ac:dyDescent="0.2">
      <c r="A51" s="53" t="str">
        <f t="array" ref="A51">IFERROR(INDEX('Annex 2 Designated EHV charges'!$D$11:$D$58, MATCH(0, IF(ISBLANK('Annex 2 Designated EHV charges'!$D$11:$D$58),1, COUNTIF(A$4:$A50, 'Annex 2 Designated EHV charges'!$D$11:$D$58)), 0)),"")</f>
        <v/>
      </c>
      <c r="B51" s="53" t="str">
        <f>IF($A51="","",VLOOKUP($A51,'Annex 2 Designated EHV charges'!$D:$O,2,0))</f>
        <v/>
      </c>
      <c r="C51" s="61" t="str">
        <f>IF($A51="","",VLOOKUP($A51,'Annex 2 Designated EHV charges'!$D:$O,3,0))</f>
        <v/>
      </c>
      <c r="D51" s="61" t="str">
        <f>IF($A51="","",VLOOKUP($A51,'Annex 2 Designated EHV charges'!$D:$O,4,0))</f>
        <v/>
      </c>
      <c r="E51" s="62" t="str">
        <f>IFERROR(IF(VLOOKUP($A51,'Annex 2 Designated EHV charges'!$D:$P,10,FALSE)=0,"",VLOOKUP($A51,'Annex 2 Designated EHV charges'!$D:$P,10,FALSE)),"")</f>
        <v/>
      </c>
      <c r="F51" s="63" t="str">
        <f>IFERROR(IF(VLOOKUP($A51,'Annex 2 Designated EHV charges'!$D:$P,11,FALSE)=0,"",VLOOKUP($A51,'Annex 2 Designated EHV charges'!$D:$P,11,FALSE)),"")</f>
        <v/>
      </c>
      <c r="G51" s="63" t="str">
        <f>IFERROR(IF(VLOOKUP($A51,'Annex 2 Designated EHV charges'!$D:$P,12,FALSE)=0,"",VLOOKUP($A51,'Annex 2 Designated EHV charges'!$D:$P,12,FALSE)),"")</f>
        <v/>
      </c>
      <c r="H51" s="53" t="str">
        <f>IFERROR(IF(VLOOKUP($A51,'Annex 2 Designated EHV charges'!$D:$P,13,FALSE)=0,"",VLOOKUP($A51,'Annex 2 Designated EHV charges'!$D:$P,13,FALSE)),"")</f>
        <v/>
      </c>
    </row>
    <row r="52" spans="1:8" x14ac:dyDescent="0.2">
      <c r="A52" s="53" t="str">
        <f t="array" ref="A52">IFERROR(INDEX('Annex 2 Designated EHV charges'!$D$11:$D$58, MATCH(0, IF(ISBLANK('Annex 2 Designated EHV charges'!$D$11:$D$58),1, COUNTIF(A$4:$A51, 'Annex 2 Designated EHV charges'!$D$11:$D$58)), 0)),"")</f>
        <v/>
      </c>
      <c r="B52" s="53" t="str">
        <f>IF($A52="","",VLOOKUP($A52,'Annex 2 Designated EHV charges'!$D:$O,2,0))</f>
        <v/>
      </c>
      <c r="C52" s="61" t="str">
        <f>IF($A52="","",VLOOKUP($A52,'Annex 2 Designated EHV charges'!$D:$O,3,0))</f>
        <v/>
      </c>
      <c r="D52" s="61" t="str">
        <f>IF($A52="","",VLOOKUP($A52,'Annex 2 Designated EHV charges'!$D:$O,4,0))</f>
        <v/>
      </c>
      <c r="E52" s="62" t="str">
        <f>IFERROR(IF(VLOOKUP($A52,'Annex 2 Designated EHV charges'!$D:$P,10,FALSE)=0,"",VLOOKUP($A52,'Annex 2 Designated EHV charges'!$D:$P,10,FALSE)),"")</f>
        <v/>
      </c>
      <c r="F52" s="63" t="str">
        <f>IFERROR(IF(VLOOKUP($A52,'Annex 2 Designated EHV charges'!$D:$P,11,FALSE)=0,"",VLOOKUP($A52,'Annex 2 Designated EHV charges'!$D:$P,11,FALSE)),"")</f>
        <v/>
      </c>
      <c r="G52" s="63" t="str">
        <f>IFERROR(IF(VLOOKUP($A52,'Annex 2 Designated EHV charges'!$D:$P,12,FALSE)=0,"",VLOOKUP($A52,'Annex 2 Designated EHV charges'!$D:$P,12,FALSE)),"")</f>
        <v/>
      </c>
      <c r="H52" s="53" t="str">
        <f>IFERROR(IF(VLOOKUP($A52,'Annex 2 Designated EHV charges'!$D:$P,13,FALSE)=0,"",VLOOKUP($A52,'Annex 2 Designated EHV charges'!$D:$P,13,FALSE)),"")</f>
        <v/>
      </c>
    </row>
    <row r="53" spans="1:8" x14ac:dyDescent="0.2">
      <c r="A53" s="53" t="str">
        <f t="array" ref="A53">IFERROR(INDEX('Annex 2 Designated EHV charges'!$D$11:$D$58, MATCH(0, IF(ISBLANK('Annex 2 Designated EHV charges'!$D$11:$D$58),1, COUNTIF(A$4:$A52, 'Annex 2 Designated EHV charges'!$D$11:$D$58)), 0)),"")</f>
        <v/>
      </c>
      <c r="B53" s="53" t="str">
        <f>IF($A53="","",VLOOKUP($A53,'Annex 2 Designated EHV charges'!$D:$O,2,0))</f>
        <v/>
      </c>
      <c r="C53" s="61" t="str">
        <f>IF($A53="","",VLOOKUP($A53,'Annex 2 Designated EHV charges'!$D:$O,3,0))</f>
        <v/>
      </c>
      <c r="D53" s="61" t="str">
        <f>IF($A53="","",VLOOKUP($A53,'Annex 2 Designated EHV charges'!$D:$O,4,0))</f>
        <v/>
      </c>
      <c r="E53" s="62" t="str">
        <f>IFERROR(IF(VLOOKUP($A53,'Annex 2 Designated EHV charges'!$D:$P,10,FALSE)=0,"",VLOOKUP($A53,'Annex 2 Designated EHV charges'!$D:$P,10,FALSE)),"")</f>
        <v/>
      </c>
      <c r="F53" s="63" t="str">
        <f>IFERROR(IF(VLOOKUP($A53,'Annex 2 Designated EHV charges'!$D:$P,11,FALSE)=0,"",VLOOKUP($A53,'Annex 2 Designated EHV charges'!$D:$P,11,FALSE)),"")</f>
        <v/>
      </c>
      <c r="G53" s="63" t="str">
        <f>IFERROR(IF(VLOOKUP($A53,'Annex 2 Designated EHV charges'!$D:$P,12,FALSE)=0,"",VLOOKUP($A53,'Annex 2 Designated EHV charges'!$D:$P,12,FALSE)),"")</f>
        <v/>
      </c>
      <c r="H53" s="53" t="str">
        <f>IFERROR(IF(VLOOKUP($A53,'Annex 2 Designated EHV charges'!$D:$P,13,FALSE)=0,"",VLOOKUP($A53,'Annex 2 Designated EHV charges'!$D:$P,13,FALSE)),"")</f>
        <v/>
      </c>
    </row>
    <row r="54" spans="1:8" x14ac:dyDescent="0.2">
      <c r="A54" s="53" t="str">
        <f t="array" ref="A54">IFERROR(INDEX('Annex 2 Designated EHV charges'!$D$11:$D$58, MATCH(0, IF(ISBLANK('Annex 2 Designated EHV charges'!$D$11:$D$58),1, COUNTIF(A$4:$A53, 'Annex 2 Designated EHV charges'!$D$11:$D$58)), 0)),"")</f>
        <v/>
      </c>
      <c r="B54" s="53" t="str">
        <f>IF($A54="","",VLOOKUP($A54,'Annex 2 Designated EHV charges'!$D:$O,2,0))</f>
        <v/>
      </c>
      <c r="C54" s="61" t="str">
        <f>IF($A54="","",VLOOKUP($A54,'Annex 2 Designated EHV charges'!$D:$O,3,0))</f>
        <v/>
      </c>
      <c r="D54" s="61" t="str">
        <f>IF($A54="","",VLOOKUP($A54,'Annex 2 Designated EHV charges'!$D:$O,4,0))</f>
        <v/>
      </c>
      <c r="E54" s="62" t="str">
        <f>IFERROR(IF(VLOOKUP($A54,'Annex 2 Designated EHV charges'!$D:$P,10,FALSE)=0,"",VLOOKUP($A54,'Annex 2 Designated EHV charges'!$D:$P,10,FALSE)),"")</f>
        <v/>
      </c>
      <c r="F54" s="63" t="str">
        <f>IFERROR(IF(VLOOKUP($A54,'Annex 2 Designated EHV charges'!$D:$P,11,FALSE)=0,"",VLOOKUP($A54,'Annex 2 Designated EHV charges'!$D:$P,11,FALSE)),"")</f>
        <v/>
      </c>
      <c r="G54" s="63" t="str">
        <f>IFERROR(IF(VLOOKUP($A54,'Annex 2 Designated EHV charges'!$D:$P,12,FALSE)=0,"",VLOOKUP($A54,'Annex 2 Designated EHV charges'!$D:$P,12,FALSE)),"")</f>
        <v/>
      </c>
      <c r="H54" s="53" t="str">
        <f>IFERROR(IF(VLOOKUP($A54,'Annex 2 Designated EHV charges'!$D:$P,13,FALSE)=0,"",VLOOKUP($A54,'Annex 2 Designated EHV charges'!$D:$P,13,FALSE)),"")</f>
        <v/>
      </c>
    </row>
    <row r="55" spans="1:8" x14ac:dyDescent="0.2">
      <c r="A55" s="53" t="str">
        <f t="array" ref="A55">IFERROR(INDEX('Annex 2 Designated EHV charges'!$D$11:$D$58, MATCH(0, IF(ISBLANK('Annex 2 Designated EHV charges'!$D$11:$D$58),1, COUNTIF(A$4:$A54, 'Annex 2 Designated EHV charges'!$D$11:$D$58)), 0)),"")</f>
        <v/>
      </c>
      <c r="B55" s="53" t="str">
        <f>IF($A55="","",VLOOKUP($A55,'Annex 2 Designated EHV charges'!$D:$O,2,0))</f>
        <v/>
      </c>
      <c r="C55" s="61" t="str">
        <f>IF($A55="","",VLOOKUP($A55,'Annex 2 Designated EHV charges'!$D:$O,3,0))</f>
        <v/>
      </c>
      <c r="D55" s="61" t="str">
        <f>IF($A55="","",VLOOKUP($A55,'Annex 2 Designated EHV charges'!$D:$O,4,0))</f>
        <v/>
      </c>
      <c r="E55" s="62" t="str">
        <f>IFERROR(IF(VLOOKUP($A55,'Annex 2 Designated EHV charges'!$D:$P,10,FALSE)=0,"",VLOOKUP($A55,'Annex 2 Designated EHV charges'!$D:$P,10,FALSE)),"")</f>
        <v/>
      </c>
      <c r="F55" s="63" t="str">
        <f>IFERROR(IF(VLOOKUP($A55,'Annex 2 Designated EHV charges'!$D:$P,11,FALSE)=0,"",VLOOKUP($A55,'Annex 2 Designated EHV charges'!$D:$P,11,FALSE)),"")</f>
        <v/>
      </c>
      <c r="G55" s="63" t="str">
        <f>IFERROR(IF(VLOOKUP($A55,'Annex 2 Designated EHV charges'!$D:$P,12,FALSE)=0,"",VLOOKUP($A55,'Annex 2 Designated EHV charges'!$D:$P,12,FALSE)),"")</f>
        <v/>
      </c>
      <c r="H55" s="53" t="str">
        <f>IFERROR(IF(VLOOKUP($A55,'Annex 2 Designated EHV charges'!$D:$P,13,FALSE)=0,"",VLOOKUP($A55,'Annex 2 Designated EHV charges'!$D:$P,13,FALSE)),"")</f>
        <v/>
      </c>
    </row>
    <row r="56" spans="1:8" x14ac:dyDescent="0.2">
      <c r="A56" s="53" t="str">
        <f t="array" ref="A56">IFERROR(INDEX('Annex 2 Designated EHV charges'!$D$11:$D$58, MATCH(0, IF(ISBLANK('Annex 2 Designated EHV charges'!$D$11:$D$58),1, COUNTIF(A$4:$A55, 'Annex 2 Designated EHV charges'!$D$11:$D$58)), 0)),"")</f>
        <v/>
      </c>
      <c r="B56" s="53" t="str">
        <f>IF($A56="","",VLOOKUP($A56,'Annex 2 Designated EHV charges'!$D:$O,2,0))</f>
        <v/>
      </c>
      <c r="C56" s="61" t="str">
        <f>IF($A56="","",VLOOKUP($A56,'Annex 2 Designated EHV charges'!$D:$O,3,0))</f>
        <v/>
      </c>
      <c r="D56" s="61" t="str">
        <f>IF($A56="","",VLOOKUP($A56,'Annex 2 Designated EHV charges'!$D:$O,4,0))</f>
        <v/>
      </c>
      <c r="E56" s="62" t="str">
        <f>IFERROR(IF(VLOOKUP($A56,'Annex 2 Designated EHV charges'!$D:$P,10,FALSE)=0,"",VLOOKUP($A56,'Annex 2 Designated EHV charges'!$D:$P,10,FALSE)),"")</f>
        <v/>
      </c>
      <c r="F56" s="63" t="str">
        <f>IFERROR(IF(VLOOKUP($A56,'Annex 2 Designated EHV charges'!$D:$P,11,FALSE)=0,"",VLOOKUP($A56,'Annex 2 Designated EHV charges'!$D:$P,11,FALSE)),"")</f>
        <v/>
      </c>
      <c r="G56" s="63" t="str">
        <f>IFERROR(IF(VLOOKUP($A56,'Annex 2 Designated EHV charges'!$D:$P,12,FALSE)=0,"",VLOOKUP($A56,'Annex 2 Designated EHV charges'!$D:$P,12,FALSE)),"")</f>
        <v/>
      </c>
      <c r="H56" s="53" t="str">
        <f>IFERROR(IF(VLOOKUP($A56,'Annex 2 Designated EHV charges'!$D:$P,13,FALSE)=0,"",VLOOKUP($A56,'Annex 2 Designated EHV charges'!$D:$P,13,FALSE)),"")</f>
        <v/>
      </c>
    </row>
    <row r="57" spans="1:8" x14ac:dyDescent="0.2">
      <c r="A57" s="53" t="str">
        <f t="array" ref="A57">IFERROR(INDEX('Annex 2 Designated EHV charges'!$D$11:$D$58, MATCH(0, IF(ISBLANK('Annex 2 Designated EHV charges'!$D$11:$D$58),1, COUNTIF(A$4:$A56, 'Annex 2 Designated EHV charges'!$D$11:$D$58)), 0)),"")</f>
        <v/>
      </c>
      <c r="B57" s="53" t="str">
        <f>IF($A57="","",VLOOKUP($A57,'Annex 2 Designated EHV charges'!$D:$O,2,0))</f>
        <v/>
      </c>
      <c r="C57" s="61" t="str">
        <f>IF($A57="","",VLOOKUP($A57,'Annex 2 Designated EHV charges'!$D:$O,3,0))</f>
        <v/>
      </c>
      <c r="D57" s="61" t="str">
        <f>IF($A57="","",VLOOKUP($A57,'Annex 2 Designated EHV charges'!$D:$O,4,0))</f>
        <v/>
      </c>
      <c r="E57" s="62" t="str">
        <f>IFERROR(IF(VLOOKUP($A57,'Annex 2 Designated EHV charges'!$D:$P,10,FALSE)=0,"",VLOOKUP($A57,'Annex 2 Designated EHV charges'!$D:$P,10,FALSE)),"")</f>
        <v/>
      </c>
      <c r="F57" s="63" t="str">
        <f>IFERROR(IF(VLOOKUP($A57,'Annex 2 Designated EHV charges'!$D:$P,11,FALSE)=0,"",VLOOKUP($A57,'Annex 2 Designated EHV charges'!$D:$P,11,FALSE)),"")</f>
        <v/>
      </c>
      <c r="G57" s="63" t="str">
        <f>IFERROR(IF(VLOOKUP($A57,'Annex 2 Designated EHV charges'!$D:$P,12,FALSE)=0,"",VLOOKUP($A57,'Annex 2 Designated EHV charges'!$D:$P,12,FALSE)),"")</f>
        <v/>
      </c>
      <c r="H57" s="53" t="str">
        <f>IFERROR(IF(VLOOKUP($A57,'Annex 2 Designated EHV charges'!$D:$P,13,FALSE)=0,"",VLOOKUP($A57,'Annex 2 Designated EHV charges'!$D:$P,13,FALSE)),"")</f>
        <v/>
      </c>
    </row>
    <row r="58" spans="1:8" x14ac:dyDescent="0.2">
      <c r="A58" s="53" t="str">
        <f t="array" ref="A58">IFERROR(INDEX('Annex 2 Designated EHV charges'!$D$11:$D$58, MATCH(0, IF(ISBLANK('Annex 2 Designated EHV charges'!$D$11:$D$58),1, COUNTIF(A$4:$A57, 'Annex 2 Designated EHV charges'!$D$11:$D$58)), 0)),"")</f>
        <v/>
      </c>
      <c r="B58" s="53" t="str">
        <f>IF($A58="","",VLOOKUP($A58,'Annex 2 Designated EHV charges'!$D:$O,2,0))</f>
        <v/>
      </c>
      <c r="C58" s="61" t="str">
        <f>IF($A58="","",VLOOKUP($A58,'Annex 2 Designated EHV charges'!$D:$O,3,0))</f>
        <v/>
      </c>
      <c r="D58" s="61" t="str">
        <f>IF($A58="","",VLOOKUP($A58,'Annex 2 Designated EHV charges'!$D:$O,4,0))</f>
        <v/>
      </c>
      <c r="E58" s="62" t="str">
        <f>IFERROR(IF(VLOOKUP($A58,'Annex 2 Designated EHV charges'!$D:$P,10,FALSE)=0,"",VLOOKUP($A58,'Annex 2 Designated EHV charges'!$D:$P,10,FALSE)),"")</f>
        <v/>
      </c>
      <c r="F58" s="63" t="str">
        <f>IFERROR(IF(VLOOKUP($A58,'Annex 2 Designated EHV charges'!$D:$P,11,FALSE)=0,"",VLOOKUP($A58,'Annex 2 Designated EHV charges'!$D:$P,11,FALSE)),"")</f>
        <v/>
      </c>
      <c r="G58" s="63" t="str">
        <f>IFERROR(IF(VLOOKUP($A58,'Annex 2 Designated EHV charges'!$D:$P,12,FALSE)=0,"",VLOOKUP($A58,'Annex 2 Designated EHV charges'!$D:$P,12,FALSE)),"")</f>
        <v/>
      </c>
      <c r="H58" s="53" t="str">
        <f>IFERROR(IF(VLOOKUP($A58,'Annex 2 Designated EHV charges'!$D:$P,13,FALSE)=0,"",VLOOKUP($A58,'Annex 2 Designated EHV charges'!$D:$P,13,FALSE)),"")</f>
        <v/>
      </c>
    </row>
    <row r="59" spans="1:8" x14ac:dyDescent="0.2">
      <c r="A59" s="53" t="str">
        <f t="array" ref="A59">IFERROR(INDEX('Annex 2 Designated EHV charges'!$D$11:$D$58, MATCH(0, IF(ISBLANK('Annex 2 Designated EHV charges'!$D$11:$D$58),1, COUNTIF(A$4:$A58, 'Annex 2 Designated EHV charges'!$D$11:$D$58)), 0)),"")</f>
        <v/>
      </c>
      <c r="B59" s="53" t="str">
        <f>IF($A59="","",VLOOKUP($A59,'Annex 2 Designated EHV charges'!$D:$O,2,0))</f>
        <v/>
      </c>
      <c r="C59" s="61" t="str">
        <f>IF($A59="","",VLOOKUP($A59,'Annex 2 Designated EHV charges'!$D:$O,3,0))</f>
        <v/>
      </c>
      <c r="D59" s="61" t="str">
        <f>IF($A59="","",VLOOKUP($A59,'Annex 2 Designated EHV charges'!$D:$O,4,0))</f>
        <v/>
      </c>
      <c r="E59" s="62" t="str">
        <f>IFERROR(IF(VLOOKUP($A59,'Annex 2 Designated EHV charges'!$D:$P,10,FALSE)=0,"",VLOOKUP($A59,'Annex 2 Designated EHV charges'!$D:$P,10,FALSE)),"")</f>
        <v/>
      </c>
      <c r="F59" s="63" t="str">
        <f>IFERROR(IF(VLOOKUP($A59,'Annex 2 Designated EHV charges'!$D:$P,11,FALSE)=0,"",VLOOKUP($A59,'Annex 2 Designated EHV charges'!$D:$P,11,FALSE)),"")</f>
        <v/>
      </c>
      <c r="G59" s="63" t="str">
        <f>IFERROR(IF(VLOOKUP($A59,'Annex 2 Designated EHV charges'!$D:$P,12,FALSE)=0,"",VLOOKUP($A59,'Annex 2 Designated EHV charges'!$D:$P,12,FALSE)),"")</f>
        <v/>
      </c>
      <c r="H59" s="53" t="str">
        <f>IFERROR(IF(VLOOKUP($A59,'Annex 2 Designated EHV charges'!$D:$P,13,FALSE)=0,"",VLOOKUP($A59,'Annex 2 Designated EHV charges'!$D:$P,13,FALSE)),"")</f>
        <v/>
      </c>
    </row>
    <row r="60" spans="1:8" x14ac:dyDescent="0.2">
      <c r="A60" s="53" t="str">
        <f t="array" ref="A60">IFERROR(INDEX('Annex 2 Designated EHV charges'!$D$11:$D$58, MATCH(0, IF(ISBLANK('Annex 2 Designated EHV charges'!$D$11:$D$58),1, COUNTIF(A$4:$A59, 'Annex 2 Designated EHV charges'!$D$11:$D$58)), 0)),"")</f>
        <v/>
      </c>
      <c r="B60" s="53" t="str">
        <f>IF($A60="","",VLOOKUP($A60,'Annex 2 Designated EHV charges'!$D:$O,2,0))</f>
        <v/>
      </c>
      <c r="C60" s="61" t="str">
        <f>IF($A60="","",VLOOKUP($A60,'Annex 2 Designated EHV charges'!$D:$O,3,0))</f>
        <v/>
      </c>
      <c r="D60" s="61" t="str">
        <f>IF($A60="","",VLOOKUP($A60,'Annex 2 Designated EHV charges'!$D:$O,4,0))</f>
        <v/>
      </c>
      <c r="E60" s="62" t="str">
        <f>IFERROR(IF(VLOOKUP($A60,'Annex 2 Designated EHV charges'!$D:$P,10,FALSE)=0,"",VLOOKUP($A60,'Annex 2 Designated EHV charges'!$D:$P,10,FALSE)),"")</f>
        <v/>
      </c>
      <c r="F60" s="63" t="str">
        <f>IFERROR(IF(VLOOKUP($A60,'Annex 2 Designated EHV charges'!$D:$P,11,FALSE)=0,"",VLOOKUP($A60,'Annex 2 Designated EHV charges'!$D:$P,11,FALSE)),"")</f>
        <v/>
      </c>
      <c r="G60" s="63" t="str">
        <f>IFERROR(IF(VLOOKUP($A60,'Annex 2 Designated EHV charges'!$D:$P,12,FALSE)=0,"",VLOOKUP($A60,'Annex 2 Designated EHV charges'!$D:$P,12,FALSE)),"")</f>
        <v/>
      </c>
      <c r="H60" s="53" t="str">
        <f>IFERROR(IF(VLOOKUP($A60,'Annex 2 Designated EHV charges'!$D:$P,13,FALSE)=0,"",VLOOKUP($A60,'Annex 2 Designated EHV charges'!$D:$P,13,FALSE)),"")</f>
        <v/>
      </c>
    </row>
    <row r="61" spans="1:8" x14ac:dyDescent="0.2">
      <c r="A61" s="53" t="str">
        <f t="array" ref="A61">IFERROR(INDEX('Annex 2 Designated EHV charges'!$D$11:$D$58, MATCH(0, IF(ISBLANK('Annex 2 Designated EHV charges'!$D$11:$D$58),1, COUNTIF(A$4:$A60, 'Annex 2 Designated EHV charges'!$D$11:$D$58)), 0)),"")</f>
        <v/>
      </c>
      <c r="B61" s="53" t="str">
        <f>IF($A61="","",VLOOKUP($A61,'Annex 2 Designated EHV charges'!$D:$O,2,0))</f>
        <v/>
      </c>
      <c r="C61" s="61" t="str">
        <f>IF($A61="","",VLOOKUP($A61,'Annex 2 Designated EHV charges'!$D:$O,3,0))</f>
        <v/>
      </c>
      <c r="D61" s="61" t="str">
        <f>IF($A61="","",VLOOKUP($A61,'Annex 2 Designated EHV charges'!$D:$O,4,0))</f>
        <v/>
      </c>
      <c r="E61" s="62" t="str">
        <f>IFERROR(IF(VLOOKUP($A61,'Annex 2 Designated EHV charges'!$D:$P,10,FALSE)=0,"",VLOOKUP($A61,'Annex 2 Designated EHV charges'!$D:$P,10,FALSE)),"")</f>
        <v/>
      </c>
      <c r="F61" s="63" t="str">
        <f>IFERROR(IF(VLOOKUP($A61,'Annex 2 Designated EHV charges'!$D:$P,11,FALSE)=0,"",VLOOKUP($A61,'Annex 2 Designated EHV charges'!$D:$P,11,FALSE)),"")</f>
        <v/>
      </c>
      <c r="G61" s="63" t="str">
        <f>IFERROR(IF(VLOOKUP($A61,'Annex 2 Designated EHV charges'!$D:$P,12,FALSE)=0,"",VLOOKUP($A61,'Annex 2 Designated EHV charges'!$D:$P,12,FALSE)),"")</f>
        <v/>
      </c>
      <c r="H61" s="53" t="str">
        <f>IFERROR(IF(VLOOKUP($A61,'Annex 2 Designated EHV charges'!$D:$P,13,FALSE)=0,"",VLOOKUP($A61,'Annex 2 Designated EHV charges'!$D:$P,13,FALSE)),"")</f>
        <v/>
      </c>
    </row>
    <row r="62" spans="1:8" x14ac:dyDescent="0.2">
      <c r="A62" s="53" t="str">
        <f t="array" ref="A62">IFERROR(INDEX('Annex 2 Designated EHV charges'!$D$11:$D$58, MATCH(0, IF(ISBLANK('Annex 2 Designated EHV charges'!$D$11:$D$58),1, COUNTIF(A$4:$A61, 'Annex 2 Designated EHV charges'!$D$11:$D$58)), 0)),"")</f>
        <v/>
      </c>
      <c r="B62" s="53" t="str">
        <f>IF($A62="","",VLOOKUP($A62,'Annex 2 Designated EHV charges'!$D:$O,2,0))</f>
        <v/>
      </c>
      <c r="C62" s="61" t="str">
        <f>IF($A62="","",VLOOKUP($A62,'Annex 2 Designated EHV charges'!$D:$O,3,0))</f>
        <v/>
      </c>
      <c r="D62" s="61" t="str">
        <f>IF($A62="","",VLOOKUP($A62,'Annex 2 Designated EHV charges'!$D:$O,4,0))</f>
        <v/>
      </c>
      <c r="E62" s="62" t="str">
        <f>IFERROR(IF(VLOOKUP($A62,'Annex 2 Designated EHV charges'!$D:$P,10,FALSE)=0,"",VLOOKUP($A62,'Annex 2 Designated EHV charges'!$D:$P,10,FALSE)),"")</f>
        <v/>
      </c>
      <c r="F62" s="63" t="str">
        <f>IFERROR(IF(VLOOKUP($A62,'Annex 2 Designated EHV charges'!$D:$P,11,FALSE)=0,"",VLOOKUP($A62,'Annex 2 Designated EHV charges'!$D:$P,11,FALSE)),"")</f>
        <v/>
      </c>
      <c r="G62" s="63" t="str">
        <f>IFERROR(IF(VLOOKUP($A62,'Annex 2 Designated EHV charges'!$D:$P,12,FALSE)=0,"",VLOOKUP($A62,'Annex 2 Designated EHV charges'!$D:$P,12,FALSE)),"")</f>
        <v/>
      </c>
      <c r="H62" s="53" t="str">
        <f>IFERROR(IF(VLOOKUP($A62,'Annex 2 Designated EHV charges'!$D:$P,13,FALSE)=0,"",VLOOKUP($A62,'Annex 2 Designated EHV charges'!$D:$P,13,FALSE)),"")</f>
        <v/>
      </c>
    </row>
    <row r="63" spans="1:8" x14ac:dyDescent="0.2">
      <c r="A63" s="53" t="str">
        <f t="array" ref="A63">IFERROR(INDEX('Annex 2 Designated EHV charges'!$D$11:$D$58, MATCH(0, IF(ISBLANK('Annex 2 Designated EHV charges'!$D$11:$D$58),1, COUNTIF(A$4:$A62, 'Annex 2 Designated EHV charges'!$D$11:$D$58)), 0)),"")</f>
        <v/>
      </c>
      <c r="B63" s="53" t="str">
        <f>IF($A63="","",VLOOKUP($A63,'Annex 2 Designated EHV charges'!$D:$O,2,0))</f>
        <v/>
      </c>
      <c r="C63" s="61" t="str">
        <f>IF($A63="","",VLOOKUP($A63,'Annex 2 Designated EHV charges'!$D:$O,3,0))</f>
        <v/>
      </c>
      <c r="D63" s="61" t="str">
        <f>IF($A63="","",VLOOKUP($A63,'Annex 2 Designated EHV charges'!$D:$O,4,0))</f>
        <v/>
      </c>
      <c r="E63" s="62" t="str">
        <f>IFERROR(IF(VLOOKUP($A63,'Annex 2 Designated EHV charges'!$D:$P,10,FALSE)=0,"",VLOOKUP($A63,'Annex 2 Designated EHV charges'!$D:$P,10,FALSE)),"")</f>
        <v/>
      </c>
      <c r="F63" s="63" t="str">
        <f>IFERROR(IF(VLOOKUP($A63,'Annex 2 Designated EHV charges'!$D:$P,11,FALSE)=0,"",VLOOKUP($A63,'Annex 2 Designated EHV charges'!$D:$P,11,FALSE)),"")</f>
        <v/>
      </c>
      <c r="G63" s="63" t="str">
        <f>IFERROR(IF(VLOOKUP($A63,'Annex 2 Designated EHV charges'!$D:$P,12,FALSE)=0,"",VLOOKUP($A63,'Annex 2 Designated EHV charges'!$D:$P,12,FALSE)),"")</f>
        <v/>
      </c>
      <c r="H63" s="53" t="str">
        <f>IFERROR(IF(VLOOKUP($A63,'Annex 2 Designated EHV charges'!$D:$P,13,FALSE)=0,"",VLOOKUP($A63,'Annex 2 Designated EHV charges'!$D:$P,13,FALSE)),"")</f>
        <v/>
      </c>
    </row>
    <row r="64" spans="1:8" x14ac:dyDescent="0.2">
      <c r="A64" s="53" t="str">
        <f t="array" ref="A64">IFERROR(INDEX('Annex 2 Designated EHV charges'!$D$11:$D$58, MATCH(0, IF(ISBLANK('Annex 2 Designated EHV charges'!$D$11:$D$58),1, COUNTIF(A$4:$A63, 'Annex 2 Designated EHV charges'!$D$11:$D$58)), 0)),"")</f>
        <v/>
      </c>
      <c r="B64" s="53" t="str">
        <f>IF($A64="","",VLOOKUP($A64,'Annex 2 Designated EHV charges'!$D:$O,2,0))</f>
        <v/>
      </c>
      <c r="C64" s="61" t="str">
        <f>IF($A64="","",VLOOKUP($A64,'Annex 2 Designated EHV charges'!$D:$O,3,0))</f>
        <v/>
      </c>
      <c r="D64" s="61" t="str">
        <f>IF($A64="","",VLOOKUP($A64,'Annex 2 Designated EHV charges'!$D:$O,4,0))</f>
        <v/>
      </c>
      <c r="E64" s="62" t="str">
        <f>IFERROR(IF(VLOOKUP($A64,'Annex 2 Designated EHV charges'!$D:$P,10,FALSE)=0,"",VLOOKUP($A64,'Annex 2 Designated EHV charges'!$D:$P,10,FALSE)),"")</f>
        <v/>
      </c>
      <c r="F64" s="63" t="str">
        <f>IFERROR(IF(VLOOKUP($A64,'Annex 2 Designated EHV charges'!$D:$P,11,FALSE)=0,"",VLOOKUP($A64,'Annex 2 Designated EHV charges'!$D:$P,11,FALSE)),"")</f>
        <v/>
      </c>
      <c r="G64" s="63" t="str">
        <f>IFERROR(IF(VLOOKUP($A64,'Annex 2 Designated EHV charges'!$D:$P,12,FALSE)=0,"",VLOOKUP($A64,'Annex 2 Designated EHV charges'!$D:$P,12,FALSE)),"")</f>
        <v/>
      </c>
      <c r="H64" s="53" t="str">
        <f>IFERROR(IF(VLOOKUP($A64,'Annex 2 Designated EHV charges'!$D:$P,13,FALSE)=0,"",VLOOKUP($A64,'Annex 2 Designated EHV charges'!$D:$P,13,FALSE)),"")</f>
        <v/>
      </c>
    </row>
    <row r="65" spans="1:8" x14ac:dyDescent="0.2">
      <c r="A65" s="53" t="str">
        <f t="array" ref="A65">IFERROR(INDEX('Annex 2 Designated EHV charges'!$D$11:$D$58, MATCH(0, IF(ISBLANK('Annex 2 Designated EHV charges'!$D$11:$D$58),1, COUNTIF(A$4:$A64, 'Annex 2 Designated EHV charges'!$D$11:$D$58)), 0)),"")</f>
        <v/>
      </c>
      <c r="B65" s="53" t="str">
        <f>IF($A65="","",VLOOKUP($A65,'Annex 2 Designated EHV charges'!$D:$O,2,0))</f>
        <v/>
      </c>
      <c r="C65" s="61" t="str">
        <f>IF($A65="","",VLOOKUP($A65,'Annex 2 Designated EHV charges'!$D:$O,3,0))</f>
        <v/>
      </c>
      <c r="D65" s="61" t="str">
        <f>IF($A65="","",VLOOKUP($A65,'Annex 2 Designated EHV charges'!$D:$O,4,0))</f>
        <v/>
      </c>
      <c r="E65" s="62" t="str">
        <f>IFERROR(IF(VLOOKUP($A65,'Annex 2 Designated EHV charges'!$D:$P,10,FALSE)=0,"",VLOOKUP($A65,'Annex 2 Designated EHV charges'!$D:$P,10,FALSE)),"")</f>
        <v/>
      </c>
      <c r="F65" s="63" t="str">
        <f>IFERROR(IF(VLOOKUP($A65,'Annex 2 Designated EHV charges'!$D:$P,11,FALSE)=0,"",VLOOKUP($A65,'Annex 2 Designated EHV charges'!$D:$P,11,FALSE)),"")</f>
        <v/>
      </c>
      <c r="G65" s="63" t="str">
        <f>IFERROR(IF(VLOOKUP($A65,'Annex 2 Designated EHV charges'!$D:$P,12,FALSE)=0,"",VLOOKUP($A65,'Annex 2 Designated EHV charges'!$D:$P,12,FALSE)),"")</f>
        <v/>
      </c>
      <c r="H65" s="53" t="str">
        <f>IFERROR(IF(VLOOKUP($A65,'Annex 2 Designated EHV charges'!$D:$P,13,FALSE)=0,"",VLOOKUP($A65,'Annex 2 Designated EHV charges'!$D:$P,13,FALSE)),"")</f>
        <v/>
      </c>
    </row>
    <row r="66" spans="1:8" x14ac:dyDescent="0.2">
      <c r="A66" s="53" t="str">
        <f t="array" ref="A66">IFERROR(INDEX('Annex 2 Designated EHV charges'!$D$11:$D$58, MATCH(0, IF(ISBLANK('Annex 2 Designated EHV charges'!$D$11:$D$58),1, COUNTIF(A$4:$A65, 'Annex 2 Designated EHV charges'!$D$11:$D$58)), 0)),"")</f>
        <v/>
      </c>
      <c r="B66" s="53" t="str">
        <f>IF($A66="","",VLOOKUP($A66,'Annex 2 Designated EHV charges'!$D:$O,2,0))</f>
        <v/>
      </c>
      <c r="C66" s="61" t="str">
        <f>IF($A66="","",VLOOKUP($A66,'Annex 2 Designated EHV charges'!$D:$O,3,0))</f>
        <v/>
      </c>
      <c r="D66" s="61" t="str">
        <f>IF($A66="","",VLOOKUP($A66,'Annex 2 Designated EHV charges'!$D:$O,4,0))</f>
        <v/>
      </c>
      <c r="E66" s="62" t="str">
        <f>IFERROR(IF(VLOOKUP($A66,'Annex 2 Designated EHV charges'!$D:$P,10,FALSE)=0,"",VLOOKUP($A66,'Annex 2 Designated EHV charges'!$D:$P,10,FALSE)),"")</f>
        <v/>
      </c>
      <c r="F66" s="63" t="str">
        <f>IFERROR(IF(VLOOKUP($A66,'Annex 2 Designated EHV charges'!$D:$P,11,FALSE)=0,"",VLOOKUP($A66,'Annex 2 Designated EHV charges'!$D:$P,11,FALSE)),"")</f>
        <v/>
      </c>
      <c r="G66" s="63" t="str">
        <f>IFERROR(IF(VLOOKUP($A66,'Annex 2 Designated EHV charges'!$D:$P,12,FALSE)=0,"",VLOOKUP($A66,'Annex 2 Designated EHV charges'!$D:$P,12,FALSE)),"")</f>
        <v/>
      </c>
      <c r="H66" s="53" t="str">
        <f>IFERROR(IF(VLOOKUP($A66,'Annex 2 Designated EHV charges'!$D:$P,13,FALSE)=0,"",VLOOKUP($A66,'Annex 2 Designated EHV charges'!$D:$P,13,FALSE)),"")</f>
        <v/>
      </c>
    </row>
    <row r="67" spans="1:8" x14ac:dyDescent="0.2">
      <c r="A67" s="53" t="str">
        <f t="array" ref="A67">IFERROR(INDEX('Annex 2 Designated EHV charges'!$D$11:$D$58, MATCH(0, IF(ISBLANK('Annex 2 Designated EHV charges'!$D$11:$D$58),1, COUNTIF(A$4:$A66, 'Annex 2 Designated EHV charges'!$D$11:$D$58)), 0)),"")</f>
        <v/>
      </c>
      <c r="B67" s="53" t="str">
        <f>IF($A67="","",VLOOKUP($A67,'Annex 2 Designated EHV charges'!$D:$O,2,0))</f>
        <v/>
      </c>
      <c r="C67" s="61" t="str">
        <f>IF($A67="","",VLOOKUP($A67,'Annex 2 Designated EHV charges'!$D:$O,3,0))</f>
        <v/>
      </c>
      <c r="D67" s="61" t="str">
        <f>IF($A67="","",VLOOKUP($A67,'Annex 2 Designated EHV charges'!$D:$O,4,0))</f>
        <v/>
      </c>
      <c r="E67" s="62" t="str">
        <f>IFERROR(IF(VLOOKUP($A67,'Annex 2 Designated EHV charges'!$D:$P,10,FALSE)=0,"",VLOOKUP($A67,'Annex 2 Designated EHV charges'!$D:$P,10,FALSE)),"")</f>
        <v/>
      </c>
      <c r="F67" s="63" t="str">
        <f>IFERROR(IF(VLOOKUP($A67,'Annex 2 Designated EHV charges'!$D:$P,11,FALSE)=0,"",VLOOKUP($A67,'Annex 2 Designated EHV charges'!$D:$P,11,FALSE)),"")</f>
        <v/>
      </c>
      <c r="G67" s="63" t="str">
        <f>IFERROR(IF(VLOOKUP($A67,'Annex 2 Designated EHV charges'!$D:$P,12,FALSE)=0,"",VLOOKUP($A67,'Annex 2 Designated EHV charges'!$D:$P,12,FALSE)),"")</f>
        <v/>
      </c>
      <c r="H67" s="53" t="str">
        <f>IFERROR(IF(VLOOKUP($A67,'Annex 2 Designated EHV charges'!$D:$P,13,FALSE)=0,"",VLOOKUP($A67,'Annex 2 Designated EHV charges'!$D:$P,13,FALSE)),"")</f>
        <v/>
      </c>
    </row>
    <row r="68" spans="1:8" x14ac:dyDescent="0.2">
      <c r="A68" s="53" t="str">
        <f t="array" ref="A68">IFERROR(INDEX('Annex 2 Designated EHV charges'!$D$11:$D$58, MATCH(0, IF(ISBLANK('Annex 2 Designated EHV charges'!$D$11:$D$58),1, COUNTIF(A$4:$A67, 'Annex 2 Designated EHV charges'!$D$11:$D$58)), 0)),"")</f>
        <v/>
      </c>
      <c r="B68" s="53" t="str">
        <f>IF($A68="","",VLOOKUP($A68,'Annex 2 Designated EHV charges'!$D:$O,2,0))</f>
        <v/>
      </c>
      <c r="C68" s="61" t="str">
        <f>IF($A68="","",VLOOKUP($A68,'Annex 2 Designated EHV charges'!$D:$O,3,0))</f>
        <v/>
      </c>
      <c r="D68" s="61" t="str">
        <f>IF($A68="","",VLOOKUP($A68,'Annex 2 Designated EHV charges'!$D:$O,4,0))</f>
        <v/>
      </c>
      <c r="E68" s="62" t="str">
        <f>IFERROR(IF(VLOOKUP($A68,'Annex 2 Designated EHV charges'!$D:$P,10,FALSE)=0,"",VLOOKUP($A68,'Annex 2 Designated EHV charges'!$D:$P,10,FALSE)),"")</f>
        <v/>
      </c>
      <c r="F68" s="63" t="str">
        <f>IFERROR(IF(VLOOKUP($A68,'Annex 2 Designated EHV charges'!$D:$P,11,FALSE)=0,"",VLOOKUP($A68,'Annex 2 Designated EHV charges'!$D:$P,11,FALSE)),"")</f>
        <v/>
      </c>
      <c r="G68" s="63" t="str">
        <f>IFERROR(IF(VLOOKUP($A68,'Annex 2 Designated EHV charges'!$D:$P,12,FALSE)=0,"",VLOOKUP($A68,'Annex 2 Designated EHV charges'!$D:$P,12,FALSE)),"")</f>
        <v/>
      </c>
      <c r="H68" s="53" t="str">
        <f>IFERROR(IF(VLOOKUP($A68,'Annex 2 Designated EHV charges'!$D:$P,13,FALSE)=0,"",VLOOKUP($A68,'Annex 2 Designated EHV charges'!$D:$P,13,FALSE)),"")</f>
        <v/>
      </c>
    </row>
    <row r="69" spans="1:8" x14ac:dyDescent="0.2">
      <c r="A69" s="53" t="str">
        <f t="array" ref="A69">IFERROR(INDEX('Annex 2 Designated EHV charges'!$D$11:$D$58, MATCH(0, IF(ISBLANK('Annex 2 Designated EHV charges'!$D$11:$D$58),1, COUNTIF(A$4:$A68, 'Annex 2 Designated EHV charges'!$D$11:$D$58)), 0)),"")</f>
        <v/>
      </c>
      <c r="B69" s="53" t="str">
        <f>IF($A69="","",VLOOKUP($A69,'Annex 2 Designated EHV charges'!$D:$O,2,0))</f>
        <v/>
      </c>
      <c r="C69" s="61" t="str">
        <f>IF($A69="","",VLOOKUP($A69,'Annex 2 Designated EHV charges'!$D:$O,3,0))</f>
        <v/>
      </c>
      <c r="D69" s="61" t="str">
        <f>IF($A69="","",VLOOKUP($A69,'Annex 2 Designated EHV charges'!$D:$O,4,0))</f>
        <v/>
      </c>
      <c r="E69" s="62" t="str">
        <f>IFERROR(IF(VLOOKUP($A69,'Annex 2 Designated EHV charges'!$D:$P,10,FALSE)=0,"",VLOOKUP($A69,'Annex 2 Designated EHV charges'!$D:$P,10,FALSE)),"")</f>
        <v/>
      </c>
      <c r="F69" s="63" t="str">
        <f>IFERROR(IF(VLOOKUP($A69,'Annex 2 Designated EHV charges'!$D:$P,11,FALSE)=0,"",VLOOKUP($A69,'Annex 2 Designated EHV charges'!$D:$P,11,FALSE)),"")</f>
        <v/>
      </c>
      <c r="G69" s="63" t="str">
        <f>IFERROR(IF(VLOOKUP($A69,'Annex 2 Designated EHV charges'!$D:$P,12,FALSE)=0,"",VLOOKUP($A69,'Annex 2 Designated EHV charges'!$D:$P,12,FALSE)),"")</f>
        <v/>
      </c>
      <c r="H69" s="53" t="str">
        <f>IFERROR(IF(VLOOKUP($A69,'Annex 2 Designated EHV charges'!$D:$P,13,FALSE)=0,"",VLOOKUP($A69,'Annex 2 Designated EHV charges'!$D:$P,13,FALSE)),"")</f>
        <v/>
      </c>
    </row>
    <row r="70" spans="1:8" x14ac:dyDescent="0.2">
      <c r="A70" s="53" t="str">
        <f t="array" ref="A70">IFERROR(INDEX('Annex 2 Designated EHV charges'!$D$11:$D$58, MATCH(0, IF(ISBLANK('Annex 2 Designated EHV charges'!$D$11:$D$58),1, COUNTIF(A$4:$A69, 'Annex 2 Designated EHV charges'!$D$11:$D$58)), 0)),"")</f>
        <v/>
      </c>
      <c r="B70" s="53" t="str">
        <f>IF($A70="","",VLOOKUP($A70,'Annex 2 Designated EHV charges'!$D:$O,2,0))</f>
        <v/>
      </c>
      <c r="C70" s="61" t="str">
        <f>IF($A70="","",VLOOKUP($A70,'Annex 2 Designated EHV charges'!$D:$O,3,0))</f>
        <v/>
      </c>
      <c r="D70" s="61" t="str">
        <f>IF($A70="","",VLOOKUP($A70,'Annex 2 Designated EHV charges'!$D:$O,4,0))</f>
        <v/>
      </c>
      <c r="E70" s="62" t="str">
        <f>IFERROR(IF(VLOOKUP($A70,'Annex 2 Designated EHV charges'!$D:$P,10,FALSE)=0,"",VLOOKUP($A70,'Annex 2 Designated EHV charges'!$D:$P,10,FALSE)),"")</f>
        <v/>
      </c>
      <c r="F70" s="63" t="str">
        <f>IFERROR(IF(VLOOKUP($A70,'Annex 2 Designated EHV charges'!$D:$P,11,FALSE)=0,"",VLOOKUP($A70,'Annex 2 Designated EHV charges'!$D:$P,11,FALSE)),"")</f>
        <v/>
      </c>
      <c r="G70" s="63" t="str">
        <f>IFERROR(IF(VLOOKUP($A70,'Annex 2 Designated EHV charges'!$D:$P,12,FALSE)=0,"",VLOOKUP($A70,'Annex 2 Designated EHV charges'!$D:$P,12,FALSE)),"")</f>
        <v/>
      </c>
      <c r="H70" s="53" t="str">
        <f>IFERROR(IF(VLOOKUP($A70,'Annex 2 Designated EHV charges'!$D:$P,13,FALSE)=0,"",VLOOKUP($A70,'Annex 2 Designated EHV charges'!$D:$P,13,FALSE)),"")</f>
        <v/>
      </c>
    </row>
    <row r="71" spans="1:8" x14ac:dyDescent="0.2">
      <c r="A71" s="53" t="str">
        <f t="array" ref="A71">IFERROR(INDEX('Annex 2 Designated EHV charges'!$D$11:$D$58, MATCH(0, IF(ISBLANK('Annex 2 Designated EHV charges'!$D$11:$D$58),1, COUNTIF(A$4:$A70, 'Annex 2 Designated EHV charges'!$D$11:$D$58)), 0)),"")</f>
        <v/>
      </c>
      <c r="B71" s="53" t="str">
        <f>IF($A71="","",VLOOKUP($A71,'Annex 2 Designated EHV charges'!$D:$O,2,0))</f>
        <v/>
      </c>
      <c r="C71" s="61" t="str">
        <f>IF($A71="","",VLOOKUP($A71,'Annex 2 Designated EHV charges'!$D:$O,3,0))</f>
        <v/>
      </c>
      <c r="D71" s="61" t="str">
        <f>IF($A71="","",VLOOKUP($A71,'Annex 2 Designated EHV charges'!$D:$O,4,0))</f>
        <v/>
      </c>
      <c r="E71" s="62" t="str">
        <f>IFERROR(IF(VLOOKUP($A71,'Annex 2 Designated EHV charges'!$D:$P,10,FALSE)=0,"",VLOOKUP($A71,'Annex 2 Designated EHV charges'!$D:$P,10,FALSE)),"")</f>
        <v/>
      </c>
      <c r="F71" s="63" t="str">
        <f>IFERROR(IF(VLOOKUP($A71,'Annex 2 Designated EHV charges'!$D:$P,11,FALSE)=0,"",VLOOKUP($A71,'Annex 2 Designated EHV charges'!$D:$P,11,FALSE)),"")</f>
        <v/>
      </c>
      <c r="G71" s="63" t="str">
        <f>IFERROR(IF(VLOOKUP($A71,'Annex 2 Designated EHV charges'!$D:$P,12,FALSE)=0,"",VLOOKUP($A71,'Annex 2 Designated EHV charges'!$D:$P,12,FALSE)),"")</f>
        <v/>
      </c>
      <c r="H71" s="53" t="str">
        <f>IFERROR(IF(VLOOKUP($A71,'Annex 2 Designated EHV charges'!$D:$P,13,FALSE)=0,"",VLOOKUP($A71,'Annex 2 Designated EHV charges'!$D:$P,13,FALSE)),"")</f>
        <v/>
      </c>
    </row>
    <row r="72" spans="1:8" x14ac:dyDescent="0.2">
      <c r="A72" s="53" t="str">
        <f t="array" ref="A72">IFERROR(INDEX('Annex 2 Designated EHV charges'!$D$11:$D$58, MATCH(0, IF(ISBLANK('Annex 2 Designated EHV charges'!$D$11:$D$58),1, COUNTIF(A$4:$A71, 'Annex 2 Designated EHV charges'!$D$11:$D$58)), 0)),"")</f>
        <v/>
      </c>
      <c r="B72" s="53" t="str">
        <f>IF($A72="","",VLOOKUP($A72,'Annex 2 Designated EHV charges'!$D:$O,2,0))</f>
        <v/>
      </c>
      <c r="C72" s="61" t="str">
        <f>IF($A72="","",VLOOKUP($A72,'Annex 2 Designated EHV charges'!$D:$O,3,0))</f>
        <v/>
      </c>
      <c r="D72" s="61" t="str">
        <f>IF($A72="","",VLOOKUP($A72,'Annex 2 Designated EHV charges'!$D:$O,4,0))</f>
        <v/>
      </c>
      <c r="E72" s="62" t="str">
        <f>IFERROR(IF(VLOOKUP($A72,'Annex 2 Designated EHV charges'!$D:$P,10,FALSE)=0,"",VLOOKUP($A72,'Annex 2 Designated EHV charges'!$D:$P,10,FALSE)),"")</f>
        <v/>
      </c>
      <c r="F72" s="63" t="str">
        <f>IFERROR(IF(VLOOKUP($A72,'Annex 2 Designated EHV charges'!$D:$P,11,FALSE)=0,"",VLOOKUP($A72,'Annex 2 Designated EHV charges'!$D:$P,11,FALSE)),"")</f>
        <v/>
      </c>
      <c r="G72" s="63" t="str">
        <f>IFERROR(IF(VLOOKUP($A72,'Annex 2 Designated EHV charges'!$D:$P,12,FALSE)=0,"",VLOOKUP($A72,'Annex 2 Designated EHV charges'!$D:$P,12,FALSE)),"")</f>
        <v/>
      </c>
      <c r="H72" s="53" t="str">
        <f>IFERROR(IF(VLOOKUP($A72,'Annex 2 Designated EHV charges'!$D:$P,13,FALSE)=0,"",VLOOKUP($A72,'Annex 2 Designated EHV charges'!$D:$P,13,FALSE)),"")</f>
        <v/>
      </c>
    </row>
    <row r="73" spans="1:8" x14ac:dyDescent="0.2">
      <c r="A73" s="53" t="str">
        <f t="array" ref="A73">IFERROR(INDEX('Annex 2 Designated EHV charges'!$D$11:$D$58, MATCH(0, IF(ISBLANK('Annex 2 Designated EHV charges'!$D$11:$D$58),1, COUNTIF(A$4:$A72, 'Annex 2 Designated EHV charges'!$D$11:$D$58)), 0)),"")</f>
        <v/>
      </c>
      <c r="B73" s="53" t="str">
        <f>IF($A73="","",VLOOKUP($A73,'Annex 2 Designated EHV charges'!$D:$O,2,0))</f>
        <v/>
      </c>
      <c r="C73" s="61" t="str">
        <f>IF($A73="","",VLOOKUP($A73,'Annex 2 Designated EHV charges'!$D:$O,3,0))</f>
        <v/>
      </c>
      <c r="D73" s="61" t="str">
        <f>IF($A73="","",VLOOKUP($A73,'Annex 2 Designated EHV charges'!$D:$O,4,0))</f>
        <v/>
      </c>
      <c r="E73" s="62" t="str">
        <f>IFERROR(IF(VLOOKUP($A73,'Annex 2 Designated EHV charges'!$D:$P,10,FALSE)=0,"",VLOOKUP($A73,'Annex 2 Designated EHV charges'!$D:$P,10,FALSE)),"")</f>
        <v/>
      </c>
      <c r="F73" s="63" t="str">
        <f>IFERROR(IF(VLOOKUP($A73,'Annex 2 Designated EHV charges'!$D:$P,11,FALSE)=0,"",VLOOKUP($A73,'Annex 2 Designated EHV charges'!$D:$P,11,FALSE)),"")</f>
        <v/>
      </c>
      <c r="G73" s="63" t="str">
        <f>IFERROR(IF(VLOOKUP($A73,'Annex 2 Designated EHV charges'!$D:$P,12,FALSE)=0,"",VLOOKUP($A73,'Annex 2 Designated EHV charges'!$D:$P,12,FALSE)),"")</f>
        <v/>
      </c>
      <c r="H73" s="53" t="str">
        <f>IFERROR(IF(VLOOKUP($A73,'Annex 2 Designated EHV charges'!$D:$P,13,FALSE)=0,"",VLOOKUP($A73,'Annex 2 Designated EHV charges'!$D:$P,13,FALSE)),"")</f>
        <v/>
      </c>
    </row>
    <row r="74" spans="1:8" x14ac:dyDescent="0.2">
      <c r="A74" s="53" t="str">
        <f t="array" ref="A74">IFERROR(INDEX('Annex 2 Designated EHV charges'!$D$11:$D$58, MATCH(0, IF(ISBLANK('Annex 2 Designated EHV charges'!$D$11:$D$58),1, COUNTIF(A$4:$A73, 'Annex 2 Designated EHV charges'!$D$11:$D$58)), 0)),"")</f>
        <v/>
      </c>
      <c r="B74" s="53" t="str">
        <f>IF($A74="","",VLOOKUP($A74,'Annex 2 Designated EHV charges'!$D:$O,2,0))</f>
        <v/>
      </c>
      <c r="C74" s="61" t="str">
        <f>IF($A74="","",VLOOKUP($A74,'Annex 2 Designated EHV charges'!$D:$O,3,0))</f>
        <v/>
      </c>
      <c r="D74" s="61" t="str">
        <f>IF($A74="","",VLOOKUP($A74,'Annex 2 Designated EHV charges'!$D:$O,4,0))</f>
        <v/>
      </c>
      <c r="E74" s="62" t="str">
        <f>IFERROR(IF(VLOOKUP($A74,'Annex 2 Designated EHV charges'!$D:$P,10,FALSE)=0,"",VLOOKUP($A74,'Annex 2 Designated EHV charges'!$D:$P,10,FALSE)),"")</f>
        <v/>
      </c>
      <c r="F74" s="63" t="str">
        <f>IFERROR(IF(VLOOKUP($A74,'Annex 2 Designated EHV charges'!$D:$P,11,FALSE)=0,"",VLOOKUP($A74,'Annex 2 Designated EHV charges'!$D:$P,11,FALSE)),"")</f>
        <v/>
      </c>
      <c r="G74" s="63" t="str">
        <f>IFERROR(IF(VLOOKUP($A74,'Annex 2 Designated EHV charges'!$D:$P,12,FALSE)=0,"",VLOOKUP($A74,'Annex 2 Designated EHV charges'!$D:$P,12,FALSE)),"")</f>
        <v/>
      </c>
      <c r="H74" s="53" t="str">
        <f>IFERROR(IF(VLOOKUP($A74,'Annex 2 Designated EHV charges'!$D:$P,13,FALSE)=0,"",VLOOKUP($A74,'Annex 2 Designated EHV charges'!$D:$P,13,FALSE)),"")</f>
        <v/>
      </c>
    </row>
    <row r="75" spans="1:8" x14ac:dyDescent="0.2">
      <c r="A75" s="53" t="str">
        <f t="array" ref="A75">IFERROR(INDEX('Annex 2 Designated EHV charges'!$D$11:$D$58, MATCH(0, IF(ISBLANK('Annex 2 Designated EHV charges'!$D$11:$D$58),1, COUNTIF(A$4:$A74, 'Annex 2 Designated EHV charges'!$D$11:$D$58)), 0)),"")</f>
        <v/>
      </c>
      <c r="B75" s="53" t="str">
        <f>IF($A75="","",VLOOKUP($A75,'Annex 2 Designated EHV charges'!$D:$O,2,0))</f>
        <v/>
      </c>
      <c r="C75" s="61" t="str">
        <f>IF($A75="","",VLOOKUP($A75,'Annex 2 Designated EHV charges'!$D:$O,3,0))</f>
        <v/>
      </c>
      <c r="D75" s="61" t="str">
        <f>IF($A75="","",VLOOKUP($A75,'Annex 2 Designated EHV charges'!$D:$O,4,0))</f>
        <v/>
      </c>
      <c r="E75" s="62" t="str">
        <f>IFERROR(IF(VLOOKUP($A75,'Annex 2 Designated EHV charges'!$D:$P,10,FALSE)=0,"",VLOOKUP($A75,'Annex 2 Designated EHV charges'!$D:$P,10,FALSE)),"")</f>
        <v/>
      </c>
      <c r="F75" s="63" t="str">
        <f>IFERROR(IF(VLOOKUP($A75,'Annex 2 Designated EHV charges'!$D:$P,11,FALSE)=0,"",VLOOKUP($A75,'Annex 2 Designated EHV charges'!$D:$P,11,FALSE)),"")</f>
        <v/>
      </c>
      <c r="G75" s="63" t="str">
        <f>IFERROR(IF(VLOOKUP($A75,'Annex 2 Designated EHV charges'!$D:$P,12,FALSE)=0,"",VLOOKUP($A75,'Annex 2 Designated EHV charges'!$D:$P,12,FALSE)),"")</f>
        <v/>
      </c>
      <c r="H75" s="53" t="str">
        <f>IFERROR(IF(VLOOKUP($A75,'Annex 2 Designated EHV charges'!$D:$P,13,FALSE)=0,"",VLOOKUP($A75,'Annex 2 Designated EHV charges'!$D:$P,13,FALSE)),"")</f>
        <v/>
      </c>
    </row>
    <row r="76" spans="1:8" x14ac:dyDescent="0.2">
      <c r="A76" s="53" t="str">
        <f t="array" ref="A76">IFERROR(INDEX('Annex 2 Designated EHV charges'!$D$11:$D$58, MATCH(0, IF(ISBLANK('Annex 2 Designated EHV charges'!$D$11:$D$58),1, COUNTIF(A$4:$A75, 'Annex 2 Designated EHV charges'!$D$11:$D$58)), 0)),"")</f>
        <v/>
      </c>
      <c r="B76" s="53" t="str">
        <f>IF($A76="","",VLOOKUP($A76,'Annex 2 Designated EHV charges'!$D:$O,2,0))</f>
        <v/>
      </c>
      <c r="C76" s="61" t="str">
        <f>IF($A76="","",VLOOKUP($A76,'Annex 2 Designated EHV charges'!$D:$O,3,0))</f>
        <v/>
      </c>
      <c r="D76" s="61" t="str">
        <f>IF($A76="","",VLOOKUP($A76,'Annex 2 Designated EHV charges'!$D:$O,4,0))</f>
        <v/>
      </c>
      <c r="E76" s="62" t="str">
        <f>IFERROR(IF(VLOOKUP($A76,'Annex 2 Designated EHV charges'!$D:$P,10,FALSE)=0,"",VLOOKUP($A76,'Annex 2 Designated EHV charges'!$D:$P,10,FALSE)),"")</f>
        <v/>
      </c>
      <c r="F76" s="63" t="str">
        <f>IFERROR(IF(VLOOKUP($A76,'Annex 2 Designated EHV charges'!$D:$P,11,FALSE)=0,"",VLOOKUP($A76,'Annex 2 Designated EHV charges'!$D:$P,11,FALSE)),"")</f>
        <v/>
      </c>
      <c r="G76" s="63" t="str">
        <f>IFERROR(IF(VLOOKUP($A76,'Annex 2 Designated EHV charges'!$D:$P,12,FALSE)=0,"",VLOOKUP($A76,'Annex 2 Designated EHV charges'!$D:$P,12,FALSE)),"")</f>
        <v/>
      </c>
      <c r="H76" s="53" t="str">
        <f>IFERROR(IF(VLOOKUP($A76,'Annex 2 Designated EHV charges'!$D:$P,13,FALSE)=0,"",VLOOKUP($A76,'Annex 2 Designated EHV charges'!$D:$P,13,FALSE)),"")</f>
        <v/>
      </c>
    </row>
    <row r="77" spans="1:8" x14ac:dyDescent="0.2">
      <c r="A77" s="53" t="str">
        <f t="array" ref="A77">IFERROR(INDEX('Annex 2 Designated EHV charges'!$D$11:$D$58, MATCH(0, IF(ISBLANK('Annex 2 Designated EHV charges'!$D$11:$D$58),1, COUNTIF(A$4:$A76, 'Annex 2 Designated EHV charges'!$D$11:$D$58)), 0)),"")</f>
        <v/>
      </c>
      <c r="B77" s="53" t="str">
        <f>IF($A77="","",VLOOKUP($A77,'Annex 2 Designated EHV charges'!$D:$O,2,0))</f>
        <v/>
      </c>
      <c r="C77" s="61" t="str">
        <f>IF($A77="","",VLOOKUP($A77,'Annex 2 Designated EHV charges'!$D:$O,3,0))</f>
        <v/>
      </c>
      <c r="D77" s="61" t="str">
        <f>IF($A77="","",VLOOKUP($A77,'Annex 2 Designated EHV charges'!$D:$O,4,0))</f>
        <v/>
      </c>
      <c r="E77" s="62" t="str">
        <f>IFERROR(IF(VLOOKUP($A77,'Annex 2 Designated EHV charges'!$D:$P,10,FALSE)=0,"",VLOOKUP($A77,'Annex 2 Designated EHV charges'!$D:$P,10,FALSE)),"")</f>
        <v/>
      </c>
      <c r="F77" s="63" t="str">
        <f>IFERROR(IF(VLOOKUP($A77,'Annex 2 Designated EHV charges'!$D:$P,11,FALSE)=0,"",VLOOKUP($A77,'Annex 2 Designated EHV charges'!$D:$P,11,FALSE)),"")</f>
        <v/>
      </c>
      <c r="G77" s="63" t="str">
        <f>IFERROR(IF(VLOOKUP($A77,'Annex 2 Designated EHV charges'!$D:$P,12,FALSE)=0,"",VLOOKUP($A77,'Annex 2 Designated EHV charges'!$D:$P,12,FALSE)),"")</f>
        <v/>
      </c>
      <c r="H77" s="53" t="str">
        <f>IFERROR(IF(VLOOKUP($A77,'Annex 2 Designated EHV charges'!$D:$P,13,FALSE)=0,"",VLOOKUP($A77,'Annex 2 Designated EHV charges'!$D:$P,13,FALSE)),"")</f>
        <v/>
      </c>
    </row>
    <row r="78" spans="1:8" x14ac:dyDescent="0.2">
      <c r="A78" s="53" t="str">
        <f t="array" ref="A78">IFERROR(INDEX('Annex 2 Designated EHV charges'!$D$11:$D$58, MATCH(0, IF(ISBLANK('Annex 2 Designated EHV charges'!$D$11:$D$58),1, COUNTIF(A$4:$A77, 'Annex 2 Designated EHV charges'!$D$11:$D$58)), 0)),"")</f>
        <v/>
      </c>
      <c r="B78" s="53" t="str">
        <f>IF($A78="","",VLOOKUP($A78,'Annex 2 Designated EHV charges'!$D:$O,2,0))</f>
        <v/>
      </c>
      <c r="C78" s="61" t="str">
        <f>IF($A78="","",VLOOKUP($A78,'Annex 2 Designated EHV charges'!$D:$O,3,0))</f>
        <v/>
      </c>
      <c r="D78" s="61" t="str">
        <f>IF($A78="","",VLOOKUP($A78,'Annex 2 Designated EHV charges'!$D:$O,4,0))</f>
        <v/>
      </c>
      <c r="E78" s="62" t="str">
        <f>IFERROR(IF(VLOOKUP($A78,'Annex 2 Designated EHV charges'!$D:$P,10,FALSE)=0,"",VLOOKUP($A78,'Annex 2 Designated EHV charges'!$D:$P,10,FALSE)),"")</f>
        <v/>
      </c>
      <c r="F78" s="63" t="str">
        <f>IFERROR(IF(VLOOKUP($A78,'Annex 2 Designated EHV charges'!$D:$P,11,FALSE)=0,"",VLOOKUP($A78,'Annex 2 Designated EHV charges'!$D:$P,11,FALSE)),"")</f>
        <v/>
      </c>
      <c r="G78" s="63" t="str">
        <f>IFERROR(IF(VLOOKUP($A78,'Annex 2 Designated EHV charges'!$D:$P,12,FALSE)=0,"",VLOOKUP($A78,'Annex 2 Designated EHV charges'!$D:$P,12,FALSE)),"")</f>
        <v/>
      </c>
      <c r="H78" s="53" t="str">
        <f>IFERROR(IF(VLOOKUP($A78,'Annex 2 Designated EHV charges'!$D:$P,13,FALSE)=0,"",VLOOKUP($A78,'Annex 2 Designated EHV charges'!$D:$P,13,FALSE)),"")</f>
        <v/>
      </c>
    </row>
    <row r="79" spans="1:8" x14ac:dyDescent="0.2">
      <c r="A79" s="53" t="str">
        <f t="array" ref="A79">IFERROR(INDEX('Annex 2 Designated EHV charges'!$D$11:$D$58, MATCH(0, IF(ISBLANK('Annex 2 Designated EHV charges'!$D$11:$D$58),1, COUNTIF(A$4:$A78, 'Annex 2 Designated EHV charges'!$D$11:$D$58)), 0)),"")</f>
        <v/>
      </c>
      <c r="B79" s="53" t="str">
        <f>IF($A79="","",VLOOKUP($A79,'Annex 2 Designated EHV charges'!$D:$O,2,0))</f>
        <v/>
      </c>
      <c r="C79" s="61" t="str">
        <f>IF($A79="","",VLOOKUP($A79,'Annex 2 Designated EHV charges'!$D:$O,3,0))</f>
        <v/>
      </c>
      <c r="D79" s="61" t="str">
        <f>IF($A79="","",VLOOKUP($A79,'Annex 2 Designated EHV charges'!$D:$O,4,0))</f>
        <v/>
      </c>
      <c r="E79" s="62" t="str">
        <f>IFERROR(IF(VLOOKUP($A79,'Annex 2 Designated EHV charges'!$D:$P,10,FALSE)=0,"",VLOOKUP($A79,'Annex 2 Designated EHV charges'!$D:$P,10,FALSE)),"")</f>
        <v/>
      </c>
      <c r="F79" s="63" t="str">
        <f>IFERROR(IF(VLOOKUP($A79,'Annex 2 Designated EHV charges'!$D:$P,11,FALSE)=0,"",VLOOKUP($A79,'Annex 2 Designated EHV charges'!$D:$P,11,FALSE)),"")</f>
        <v/>
      </c>
      <c r="G79" s="63" t="str">
        <f>IFERROR(IF(VLOOKUP($A79,'Annex 2 Designated EHV charges'!$D:$P,12,FALSE)=0,"",VLOOKUP($A79,'Annex 2 Designated EHV charges'!$D:$P,12,FALSE)),"")</f>
        <v/>
      </c>
      <c r="H79" s="53" t="str">
        <f>IFERROR(IF(VLOOKUP($A79,'Annex 2 Designated EHV charges'!$D:$P,13,FALSE)=0,"",VLOOKUP($A79,'Annex 2 Designated EHV charges'!$D:$P,13,FALSE)),"")</f>
        <v/>
      </c>
    </row>
    <row r="80" spans="1:8" x14ac:dyDescent="0.2">
      <c r="A80" s="53" t="str">
        <f t="array" ref="A80">IFERROR(INDEX('Annex 2 Designated EHV charges'!$D$11:$D$58, MATCH(0, IF(ISBLANK('Annex 2 Designated EHV charges'!$D$11:$D$58),1, COUNTIF(A$4:$A79, 'Annex 2 Designated EHV charges'!$D$11:$D$58)), 0)),"")</f>
        <v/>
      </c>
      <c r="B80" s="53" t="str">
        <f>IF($A80="","",VLOOKUP($A80,'Annex 2 Designated EHV charges'!$D:$O,2,0))</f>
        <v/>
      </c>
      <c r="C80" s="61" t="str">
        <f>IF($A80="","",VLOOKUP($A80,'Annex 2 Designated EHV charges'!$D:$O,3,0))</f>
        <v/>
      </c>
      <c r="D80" s="61" t="str">
        <f>IF($A80="","",VLOOKUP($A80,'Annex 2 Designated EHV charges'!$D:$O,4,0))</f>
        <v/>
      </c>
      <c r="E80" s="62" t="str">
        <f>IFERROR(IF(VLOOKUP($A80,'Annex 2 Designated EHV charges'!$D:$P,10,FALSE)=0,"",VLOOKUP($A80,'Annex 2 Designated EHV charges'!$D:$P,10,FALSE)),"")</f>
        <v/>
      </c>
      <c r="F80" s="63" t="str">
        <f>IFERROR(IF(VLOOKUP($A80,'Annex 2 Designated EHV charges'!$D:$P,11,FALSE)=0,"",VLOOKUP($A80,'Annex 2 Designated EHV charges'!$D:$P,11,FALSE)),"")</f>
        <v/>
      </c>
      <c r="G80" s="63" t="str">
        <f>IFERROR(IF(VLOOKUP($A80,'Annex 2 Designated EHV charges'!$D:$P,12,FALSE)=0,"",VLOOKUP($A80,'Annex 2 Designated EHV charges'!$D:$P,12,FALSE)),"")</f>
        <v/>
      </c>
      <c r="H80" s="53" t="str">
        <f>IFERROR(IF(VLOOKUP($A80,'Annex 2 Designated EHV charges'!$D:$P,13,FALSE)=0,"",VLOOKUP($A80,'Annex 2 Designated EHV charges'!$D:$P,13,FALSE)),"")</f>
        <v/>
      </c>
    </row>
    <row r="81" spans="1:8" x14ac:dyDescent="0.2">
      <c r="A81" s="53" t="str">
        <f t="array" ref="A81">IFERROR(INDEX('Annex 2 Designated EHV charges'!$D$11:$D$58, MATCH(0, IF(ISBLANK('Annex 2 Designated EHV charges'!$D$11:$D$58),1, COUNTIF(A$4:$A80, 'Annex 2 Designated EHV charges'!$D$11:$D$58)), 0)),"")</f>
        <v/>
      </c>
      <c r="B81" s="53" t="str">
        <f>IF($A81="","",VLOOKUP($A81,'Annex 2 Designated EHV charges'!$D:$O,2,0))</f>
        <v/>
      </c>
      <c r="C81" s="61" t="str">
        <f>IF($A81="","",VLOOKUP($A81,'Annex 2 Designated EHV charges'!$D:$O,3,0))</f>
        <v/>
      </c>
      <c r="D81" s="61" t="str">
        <f>IF($A81="","",VLOOKUP($A81,'Annex 2 Designated EHV charges'!$D:$O,4,0))</f>
        <v/>
      </c>
      <c r="E81" s="62" t="str">
        <f>IFERROR(IF(VLOOKUP($A81,'Annex 2 Designated EHV charges'!$D:$P,10,FALSE)=0,"",VLOOKUP($A81,'Annex 2 Designated EHV charges'!$D:$P,10,FALSE)),"")</f>
        <v/>
      </c>
      <c r="F81" s="63" t="str">
        <f>IFERROR(IF(VLOOKUP($A81,'Annex 2 Designated EHV charges'!$D:$P,11,FALSE)=0,"",VLOOKUP($A81,'Annex 2 Designated EHV charges'!$D:$P,11,FALSE)),"")</f>
        <v/>
      </c>
      <c r="G81" s="63" t="str">
        <f>IFERROR(IF(VLOOKUP($A81,'Annex 2 Designated EHV charges'!$D:$P,12,FALSE)=0,"",VLOOKUP($A81,'Annex 2 Designated EHV charges'!$D:$P,12,FALSE)),"")</f>
        <v/>
      </c>
      <c r="H81" s="53" t="str">
        <f>IFERROR(IF(VLOOKUP($A81,'Annex 2 Designated EHV charges'!$D:$P,13,FALSE)=0,"",VLOOKUP($A81,'Annex 2 Designated EHV charges'!$D:$P,13,FALSE)),"")</f>
        <v/>
      </c>
    </row>
    <row r="82" spans="1:8" x14ac:dyDescent="0.2">
      <c r="A82" s="53" t="str">
        <f t="array" ref="A82">IFERROR(INDEX('Annex 2 Designated EHV charges'!$D$11:$D$58, MATCH(0, IF(ISBLANK('Annex 2 Designated EHV charges'!$D$11:$D$58),1, COUNTIF(A$4:$A81, 'Annex 2 Designated EHV charges'!$D$11:$D$58)), 0)),"")</f>
        <v/>
      </c>
      <c r="B82" s="53" t="str">
        <f>IF($A82="","",VLOOKUP($A82,'Annex 2 Designated EHV charges'!$D:$O,2,0))</f>
        <v/>
      </c>
      <c r="C82" s="61" t="str">
        <f>IF($A82="","",VLOOKUP($A82,'Annex 2 Designated EHV charges'!$D:$O,3,0))</f>
        <v/>
      </c>
      <c r="D82" s="61" t="str">
        <f>IF($A82="","",VLOOKUP($A82,'Annex 2 Designated EHV charges'!$D:$O,4,0))</f>
        <v/>
      </c>
      <c r="E82" s="62" t="str">
        <f>IFERROR(IF(VLOOKUP($A82,'Annex 2 Designated EHV charges'!$D:$P,10,FALSE)=0,"",VLOOKUP($A82,'Annex 2 Designated EHV charges'!$D:$P,10,FALSE)),"")</f>
        <v/>
      </c>
      <c r="F82" s="63" t="str">
        <f>IFERROR(IF(VLOOKUP($A82,'Annex 2 Designated EHV charges'!$D:$P,11,FALSE)=0,"",VLOOKUP($A82,'Annex 2 Designated EHV charges'!$D:$P,11,FALSE)),"")</f>
        <v/>
      </c>
      <c r="G82" s="63" t="str">
        <f>IFERROR(IF(VLOOKUP($A82,'Annex 2 Designated EHV charges'!$D:$P,12,FALSE)=0,"",VLOOKUP($A82,'Annex 2 Designated EHV charges'!$D:$P,12,FALSE)),"")</f>
        <v/>
      </c>
      <c r="H82" s="53" t="str">
        <f>IFERROR(IF(VLOOKUP($A82,'Annex 2 Designated EHV charges'!$D:$P,13,FALSE)=0,"",VLOOKUP($A82,'Annex 2 Designated EHV charges'!$D:$P,13,FALSE)),"")</f>
        <v/>
      </c>
    </row>
    <row r="83" spans="1:8" x14ac:dyDescent="0.2">
      <c r="A83" s="53" t="str">
        <f t="array" ref="A83">IFERROR(INDEX('Annex 2 Designated EHV charges'!$D$11:$D$58, MATCH(0, IF(ISBLANK('Annex 2 Designated EHV charges'!$D$11:$D$58),1, COUNTIF(A$4:$A82, 'Annex 2 Designated EHV charges'!$D$11:$D$58)), 0)),"")</f>
        <v/>
      </c>
      <c r="B83" s="53" t="str">
        <f>IF($A83="","",VLOOKUP($A83,'Annex 2 Designated EHV charges'!$D:$O,2,0))</f>
        <v/>
      </c>
      <c r="C83" s="61" t="str">
        <f>IF($A83="","",VLOOKUP($A83,'Annex 2 Designated EHV charges'!$D:$O,3,0))</f>
        <v/>
      </c>
      <c r="D83" s="61" t="str">
        <f>IF($A83="","",VLOOKUP($A83,'Annex 2 Designated EHV charges'!$D:$O,4,0))</f>
        <v/>
      </c>
      <c r="E83" s="62" t="str">
        <f>IFERROR(IF(VLOOKUP($A83,'Annex 2 Designated EHV charges'!$D:$P,10,FALSE)=0,"",VLOOKUP($A83,'Annex 2 Designated EHV charges'!$D:$P,10,FALSE)),"")</f>
        <v/>
      </c>
      <c r="F83" s="63" t="str">
        <f>IFERROR(IF(VLOOKUP($A83,'Annex 2 Designated EHV charges'!$D:$P,11,FALSE)=0,"",VLOOKUP($A83,'Annex 2 Designated EHV charges'!$D:$P,11,FALSE)),"")</f>
        <v/>
      </c>
      <c r="G83" s="63" t="str">
        <f>IFERROR(IF(VLOOKUP($A83,'Annex 2 Designated EHV charges'!$D:$P,12,FALSE)=0,"",VLOOKUP($A83,'Annex 2 Designated EHV charges'!$D:$P,12,FALSE)),"")</f>
        <v/>
      </c>
      <c r="H83" s="53" t="str">
        <f>IFERROR(IF(VLOOKUP($A83,'Annex 2 Designated EHV charges'!$D:$P,13,FALSE)=0,"",VLOOKUP($A83,'Annex 2 Designated EHV charges'!$D:$P,13,FALSE)),"")</f>
        <v/>
      </c>
    </row>
    <row r="84" spans="1:8" x14ac:dyDescent="0.2">
      <c r="A84" s="53" t="str">
        <f t="array" ref="A84">IFERROR(INDEX('Annex 2 Designated EHV charges'!$D$11:$D$58, MATCH(0, IF(ISBLANK('Annex 2 Designated EHV charges'!$D$11:$D$58),1, COUNTIF(A$4:$A83, 'Annex 2 Designated EHV charges'!$D$11:$D$58)), 0)),"")</f>
        <v/>
      </c>
      <c r="B84" s="53" t="str">
        <f>IF($A84="","",VLOOKUP($A84,'Annex 2 Designated EHV charges'!$D:$O,2,0))</f>
        <v/>
      </c>
      <c r="C84" s="61" t="str">
        <f>IF($A84="","",VLOOKUP($A84,'Annex 2 Designated EHV charges'!$D:$O,3,0))</f>
        <v/>
      </c>
      <c r="D84" s="61" t="str">
        <f>IF($A84="","",VLOOKUP($A84,'Annex 2 Designated EHV charges'!$D:$O,4,0))</f>
        <v/>
      </c>
      <c r="E84" s="62" t="str">
        <f>IFERROR(IF(VLOOKUP($A84,'Annex 2 Designated EHV charges'!$D:$P,10,FALSE)=0,"",VLOOKUP($A84,'Annex 2 Designated EHV charges'!$D:$P,10,FALSE)),"")</f>
        <v/>
      </c>
      <c r="F84" s="63" t="str">
        <f>IFERROR(IF(VLOOKUP($A84,'Annex 2 Designated EHV charges'!$D:$P,11,FALSE)=0,"",VLOOKUP($A84,'Annex 2 Designated EHV charges'!$D:$P,11,FALSE)),"")</f>
        <v/>
      </c>
      <c r="G84" s="63" t="str">
        <f>IFERROR(IF(VLOOKUP($A84,'Annex 2 Designated EHV charges'!$D:$P,12,FALSE)=0,"",VLOOKUP($A84,'Annex 2 Designated EHV charges'!$D:$P,12,FALSE)),"")</f>
        <v/>
      </c>
      <c r="H84" s="53" t="str">
        <f>IFERROR(IF(VLOOKUP($A84,'Annex 2 Designated EHV charges'!$D:$P,13,FALSE)=0,"",VLOOKUP($A84,'Annex 2 Designated EHV charges'!$D:$P,13,FALSE)),"")</f>
        <v/>
      </c>
    </row>
    <row r="85" spans="1:8" x14ac:dyDescent="0.2">
      <c r="A85" s="53" t="str">
        <f t="array" ref="A85">IFERROR(INDEX('Annex 2 Designated EHV charges'!$D$11:$D$58, MATCH(0, IF(ISBLANK('Annex 2 Designated EHV charges'!$D$11:$D$58),1, COUNTIF(A$4:$A84, 'Annex 2 Designated EHV charges'!$D$11:$D$58)), 0)),"")</f>
        <v/>
      </c>
      <c r="B85" s="53" t="str">
        <f>IF($A85="","",VLOOKUP($A85,'Annex 2 Designated EHV charges'!$D:$O,2,0))</f>
        <v/>
      </c>
      <c r="C85" s="61" t="str">
        <f>IF($A85="","",VLOOKUP($A85,'Annex 2 Designated EHV charges'!$D:$O,3,0))</f>
        <v/>
      </c>
      <c r="D85" s="61" t="str">
        <f>IF($A85="","",VLOOKUP($A85,'Annex 2 Designated EHV charges'!$D:$O,4,0))</f>
        <v/>
      </c>
      <c r="E85" s="62" t="str">
        <f>IFERROR(IF(VLOOKUP($A85,'Annex 2 Designated EHV charges'!$D:$P,10,FALSE)=0,"",VLOOKUP($A85,'Annex 2 Designated EHV charges'!$D:$P,10,FALSE)),"")</f>
        <v/>
      </c>
      <c r="F85" s="63" t="str">
        <f>IFERROR(IF(VLOOKUP($A85,'Annex 2 Designated EHV charges'!$D:$P,11,FALSE)=0,"",VLOOKUP($A85,'Annex 2 Designated EHV charges'!$D:$P,11,FALSE)),"")</f>
        <v/>
      </c>
      <c r="G85" s="63" t="str">
        <f>IFERROR(IF(VLOOKUP($A85,'Annex 2 Designated EHV charges'!$D:$P,12,FALSE)=0,"",VLOOKUP($A85,'Annex 2 Designated EHV charges'!$D:$P,12,FALSE)),"")</f>
        <v/>
      </c>
      <c r="H85" s="53" t="str">
        <f>IFERROR(IF(VLOOKUP($A85,'Annex 2 Designated EHV charges'!$D:$P,13,FALSE)=0,"",VLOOKUP($A85,'Annex 2 Designated EHV charges'!$D:$P,13,FALSE)),"")</f>
        <v/>
      </c>
    </row>
    <row r="86" spans="1:8" x14ac:dyDescent="0.2">
      <c r="A86" s="53" t="str">
        <f t="array" ref="A86">IFERROR(INDEX('Annex 2 Designated EHV charges'!$D$11:$D$58, MATCH(0, IF(ISBLANK('Annex 2 Designated EHV charges'!$D$11:$D$58),1, COUNTIF(A$4:$A85, 'Annex 2 Designated EHV charges'!$D$11:$D$58)), 0)),"")</f>
        <v/>
      </c>
      <c r="B86" s="53" t="str">
        <f>IF($A86="","",VLOOKUP($A86,'Annex 2 Designated EHV charges'!$D:$O,2,0))</f>
        <v/>
      </c>
      <c r="C86" s="61" t="str">
        <f>IF($A86="","",VLOOKUP($A86,'Annex 2 Designated EHV charges'!$D:$O,3,0))</f>
        <v/>
      </c>
      <c r="D86" s="61" t="str">
        <f>IF($A86="","",VLOOKUP($A86,'Annex 2 Designated EHV charges'!$D:$O,4,0))</f>
        <v/>
      </c>
      <c r="E86" s="62" t="str">
        <f>IFERROR(IF(VLOOKUP($A86,'Annex 2 Designated EHV charges'!$D:$P,10,FALSE)=0,"",VLOOKUP($A86,'Annex 2 Designated EHV charges'!$D:$P,10,FALSE)),"")</f>
        <v/>
      </c>
      <c r="F86" s="63" t="str">
        <f>IFERROR(IF(VLOOKUP($A86,'Annex 2 Designated EHV charges'!$D:$P,11,FALSE)=0,"",VLOOKUP($A86,'Annex 2 Designated EHV charges'!$D:$P,11,FALSE)),"")</f>
        <v/>
      </c>
      <c r="G86" s="63" t="str">
        <f>IFERROR(IF(VLOOKUP($A86,'Annex 2 Designated EHV charges'!$D:$P,12,FALSE)=0,"",VLOOKUP($A86,'Annex 2 Designated EHV charges'!$D:$P,12,FALSE)),"")</f>
        <v/>
      </c>
      <c r="H86" s="53" t="str">
        <f>IFERROR(IF(VLOOKUP($A86,'Annex 2 Designated EHV charges'!$D:$P,13,FALSE)=0,"",VLOOKUP($A86,'Annex 2 Designated EHV charges'!$D:$P,13,FALSE)),"")</f>
        <v/>
      </c>
    </row>
    <row r="87" spans="1:8" x14ac:dyDescent="0.2">
      <c r="A87" s="53" t="str">
        <f t="array" ref="A87">IFERROR(INDEX('Annex 2 Designated EHV charges'!$D$11:$D$58, MATCH(0, IF(ISBLANK('Annex 2 Designated EHV charges'!$D$11:$D$58),1, COUNTIF(A$4:$A86, 'Annex 2 Designated EHV charges'!$D$11:$D$58)), 0)),"")</f>
        <v/>
      </c>
      <c r="B87" s="53" t="str">
        <f>IF($A87="","",VLOOKUP($A87,'Annex 2 Designated EHV charges'!$D:$O,2,0))</f>
        <v/>
      </c>
      <c r="C87" s="61" t="str">
        <f>IF($A87="","",VLOOKUP($A87,'Annex 2 Designated EHV charges'!$D:$O,3,0))</f>
        <v/>
      </c>
      <c r="D87" s="61" t="str">
        <f>IF($A87="","",VLOOKUP($A87,'Annex 2 Designated EHV charges'!$D:$O,4,0))</f>
        <v/>
      </c>
      <c r="E87" s="62" t="str">
        <f>IFERROR(IF(VLOOKUP($A87,'Annex 2 Designated EHV charges'!$D:$P,10,FALSE)=0,"",VLOOKUP($A87,'Annex 2 Designated EHV charges'!$D:$P,10,FALSE)),"")</f>
        <v/>
      </c>
      <c r="F87" s="63" t="str">
        <f>IFERROR(IF(VLOOKUP($A87,'Annex 2 Designated EHV charges'!$D:$P,11,FALSE)=0,"",VLOOKUP($A87,'Annex 2 Designated EHV charges'!$D:$P,11,FALSE)),"")</f>
        <v/>
      </c>
      <c r="G87" s="63" t="str">
        <f>IFERROR(IF(VLOOKUP($A87,'Annex 2 Designated EHV charges'!$D:$P,12,FALSE)=0,"",VLOOKUP($A87,'Annex 2 Designated EHV charges'!$D:$P,12,FALSE)),"")</f>
        <v/>
      </c>
      <c r="H87" s="53" t="str">
        <f>IFERROR(IF(VLOOKUP($A87,'Annex 2 Designated EHV charges'!$D:$P,13,FALSE)=0,"",VLOOKUP($A87,'Annex 2 Designated EHV charges'!$D:$P,13,FALSE)),"")</f>
        <v/>
      </c>
    </row>
    <row r="88" spans="1:8" x14ac:dyDescent="0.2">
      <c r="A88" s="53" t="str">
        <f t="array" ref="A88">IFERROR(INDEX('Annex 2 Designated EHV charges'!$D$11:$D$58, MATCH(0, IF(ISBLANK('Annex 2 Designated EHV charges'!$D$11:$D$58),1, COUNTIF(A$4:$A87, 'Annex 2 Designated EHV charges'!$D$11:$D$58)), 0)),"")</f>
        <v/>
      </c>
      <c r="B88" s="53" t="str">
        <f>IF($A88="","",VLOOKUP($A88,'Annex 2 Designated EHV charges'!$D:$O,2,0))</f>
        <v/>
      </c>
      <c r="C88" s="61" t="str">
        <f>IF($A88="","",VLOOKUP($A88,'Annex 2 Designated EHV charges'!$D:$O,3,0))</f>
        <v/>
      </c>
      <c r="D88" s="61" t="str">
        <f>IF($A88="","",VLOOKUP($A88,'Annex 2 Designated EHV charges'!$D:$O,4,0))</f>
        <v/>
      </c>
      <c r="E88" s="62" t="str">
        <f>IFERROR(IF(VLOOKUP($A88,'Annex 2 Designated EHV charges'!$D:$P,10,FALSE)=0,"",VLOOKUP($A88,'Annex 2 Designated EHV charges'!$D:$P,10,FALSE)),"")</f>
        <v/>
      </c>
      <c r="F88" s="63" t="str">
        <f>IFERROR(IF(VLOOKUP($A88,'Annex 2 Designated EHV charges'!$D:$P,11,FALSE)=0,"",VLOOKUP($A88,'Annex 2 Designated EHV charges'!$D:$P,11,FALSE)),"")</f>
        <v/>
      </c>
      <c r="G88" s="63" t="str">
        <f>IFERROR(IF(VLOOKUP($A88,'Annex 2 Designated EHV charges'!$D:$P,12,FALSE)=0,"",VLOOKUP($A88,'Annex 2 Designated EHV charges'!$D:$P,12,FALSE)),"")</f>
        <v/>
      </c>
      <c r="H88" s="53" t="str">
        <f>IFERROR(IF(VLOOKUP($A88,'Annex 2 Designated EHV charges'!$D:$P,13,FALSE)=0,"",VLOOKUP($A88,'Annex 2 Designated EHV charges'!$D:$P,13,FALSE)),"")</f>
        <v/>
      </c>
    </row>
    <row r="89" spans="1:8" x14ac:dyDescent="0.2">
      <c r="A89" s="53" t="str">
        <f t="array" ref="A89">IFERROR(INDEX('Annex 2 Designated EHV charges'!$D$11:$D$58, MATCH(0, IF(ISBLANK('Annex 2 Designated EHV charges'!$D$11:$D$58),1, COUNTIF(A$4:$A88, 'Annex 2 Designated EHV charges'!$D$11:$D$58)), 0)),"")</f>
        <v/>
      </c>
      <c r="B89" s="53" t="str">
        <f>IF($A89="","",VLOOKUP($A89,'Annex 2 Designated EHV charges'!$D:$O,2,0))</f>
        <v/>
      </c>
      <c r="C89" s="61" t="str">
        <f>IF($A89="","",VLOOKUP($A89,'Annex 2 Designated EHV charges'!$D:$O,3,0))</f>
        <v/>
      </c>
      <c r="D89" s="61" t="str">
        <f>IF($A89="","",VLOOKUP($A89,'Annex 2 Designated EHV charges'!$D:$O,4,0))</f>
        <v/>
      </c>
      <c r="E89" s="62" t="str">
        <f>IFERROR(IF(VLOOKUP($A89,'Annex 2 Designated EHV charges'!$D:$P,10,FALSE)=0,"",VLOOKUP($A89,'Annex 2 Designated EHV charges'!$D:$P,10,FALSE)),"")</f>
        <v/>
      </c>
      <c r="F89" s="63" t="str">
        <f>IFERROR(IF(VLOOKUP($A89,'Annex 2 Designated EHV charges'!$D:$P,11,FALSE)=0,"",VLOOKUP($A89,'Annex 2 Designated EHV charges'!$D:$P,11,FALSE)),"")</f>
        <v/>
      </c>
      <c r="G89" s="63" t="str">
        <f>IFERROR(IF(VLOOKUP($A89,'Annex 2 Designated EHV charges'!$D:$P,12,FALSE)=0,"",VLOOKUP($A89,'Annex 2 Designated EHV charges'!$D:$P,12,FALSE)),"")</f>
        <v/>
      </c>
      <c r="H89" s="53" t="str">
        <f>IFERROR(IF(VLOOKUP($A89,'Annex 2 Designated EHV charges'!$D:$P,13,FALSE)=0,"",VLOOKUP($A89,'Annex 2 Designated EHV charges'!$D:$P,13,FALSE)),"")</f>
        <v/>
      </c>
    </row>
    <row r="90" spans="1:8" x14ac:dyDescent="0.2">
      <c r="A90" s="53" t="str">
        <f t="array" ref="A90">IFERROR(INDEX('Annex 2 Designated EHV charges'!$D$11:$D$58, MATCH(0, IF(ISBLANK('Annex 2 Designated EHV charges'!$D$11:$D$58),1, COUNTIF(A$4:$A89, 'Annex 2 Designated EHV charges'!$D$11:$D$58)), 0)),"")</f>
        <v/>
      </c>
      <c r="B90" s="53" t="str">
        <f>IF($A90="","",VLOOKUP($A90,'Annex 2 Designated EHV charges'!$D:$O,2,0))</f>
        <v/>
      </c>
      <c r="C90" s="61" t="str">
        <f>IF($A90="","",VLOOKUP($A90,'Annex 2 Designated EHV charges'!$D:$O,3,0))</f>
        <v/>
      </c>
      <c r="D90" s="61" t="str">
        <f>IF($A90="","",VLOOKUP($A90,'Annex 2 Designated EHV charges'!$D:$O,4,0))</f>
        <v/>
      </c>
      <c r="E90" s="62" t="str">
        <f>IFERROR(IF(VLOOKUP($A90,'Annex 2 Designated EHV charges'!$D:$P,10,FALSE)=0,"",VLOOKUP($A90,'Annex 2 Designated EHV charges'!$D:$P,10,FALSE)),"")</f>
        <v/>
      </c>
      <c r="F90" s="63" t="str">
        <f>IFERROR(IF(VLOOKUP($A90,'Annex 2 Designated EHV charges'!$D:$P,11,FALSE)=0,"",VLOOKUP($A90,'Annex 2 Designated EHV charges'!$D:$P,11,FALSE)),"")</f>
        <v/>
      </c>
      <c r="G90" s="63" t="str">
        <f>IFERROR(IF(VLOOKUP($A90,'Annex 2 Designated EHV charges'!$D:$P,12,FALSE)=0,"",VLOOKUP($A90,'Annex 2 Designated EHV charges'!$D:$P,12,FALSE)),"")</f>
        <v/>
      </c>
      <c r="H90" s="53" t="str">
        <f>IFERROR(IF(VLOOKUP($A90,'Annex 2 Designated EHV charges'!$D:$P,13,FALSE)=0,"",VLOOKUP($A90,'Annex 2 Designated EHV charges'!$D:$P,13,FALSE)),"")</f>
        <v/>
      </c>
    </row>
    <row r="91" spans="1:8" x14ac:dyDescent="0.2">
      <c r="A91" s="53" t="str">
        <f t="array" ref="A91">IFERROR(INDEX('Annex 2 Designated EHV charges'!$D$11:$D$58, MATCH(0, IF(ISBLANK('Annex 2 Designated EHV charges'!$D$11:$D$58),1, COUNTIF(A$4:$A90, 'Annex 2 Designated EHV charges'!$D$11:$D$58)), 0)),"")</f>
        <v/>
      </c>
      <c r="B91" s="53" t="str">
        <f>IF($A91="","",VLOOKUP($A91,'Annex 2 Designated EHV charges'!$D:$O,2,0))</f>
        <v/>
      </c>
      <c r="C91" s="61" t="str">
        <f>IF($A91="","",VLOOKUP($A91,'Annex 2 Designated EHV charges'!$D:$O,3,0))</f>
        <v/>
      </c>
      <c r="D91" s="61" t="str">
        <f>IF($A91="","",VLOOKUP($A91,'Annex 2 Designated EHV charges'!$D:$O,4,0))</f>
        <v/>
      </c>
      <c r="E91" s="62" t="str">
        <f>IFERROR(IF(VLOOKUP($A91,'Annex 2 Designated EHV charges'!$D:$P,10,FALSE)=0,"",VLOOKUP($A91,'Annex 2 Designated EHV charges'!$D:$P,10,FALSE)),"")</f>
        <v/>
      </c>
      <c r="F91" s="63" t="str">
        <f>IFERROR(IF(VLOOKUP($A91,'Annex 2 Designated EHV charges'!$D:$P,11,FALSE)=0,"",VLOOKUP($A91,'Annex 2 Designated EHV charges'!$D:$P,11,FALSE)),"")</f>
        <v/>
      </c>
      <c r="G91" s="63" t="str">
        <f>IFERROR(IF(VLOOKUP($A91,'Annex 2 Designated EHV charges'!$D:$P,12,FALSE)=0,"",VLOOKUP($A91,'Annex 2 Designated EHV charges'!$D:$P,12,FALSE)),"")</f>
        <v/>
      </c>
      <c r="H91" s="53" t="str">
        <f>IFERROR(IF(VLOOKUP($A91,'Annex 2 Designated EHV charges'!$D:$P,13,FALSE)=0,"",VLOOKUP($A91,'Annex 2 Designated EHV charges'!$D:$P,13,FALSE)),"")</f>
        <v/>
      </c>
    </row>
    <row r="92" spans="1:8" x14ac:dyDescent="0.2">
      <c r="A92" s="53" t="str">
        <f t="array" ref="A92">IFERROR(INDEX('Annex 2 Designated EHV charges'!$D$11:$D$58, MATCH(0, IF(ISBLANK('Annex 2 Designated EHV charges'!$D$11:$D$58),1, COUNTIF(A$4:$A91, 'Annex 2 Designated EHV charges'!$D$11:$D$58)), 0)),"")</f>
        <v/>
      </c>
      <c r="B92" s="53" t="str">
        <f>IF($A92="","",VLOOKUP($A92,'Annex 2 Designated EHV charges'!$D:$O,2,0))</f>
        <v/>
      </c>
      <c r="C92" s="61" t="str">
        <f>IF($A92="","",VLOOKUP($A92,'Annex 2 Designated EHV charges'!$D:$O,3,0))</f>
        <v/>
      </c>
      <c r="D92" s="61" t="str">
        <f>IF($A92="","",VLOOKUP($A92,'Annex 2 Designated EHV charges'!$D:$O,4,0))</f>
        <v/>
      </c>
      <c r="E92" s="62" t="str">
        <f>IFERROR(IF(VLOOKUP($A92,'Annex 2 Designated EHV charges'!$D:$P,10,FALSE)=0,"",VLOOKUP($A92,'Annex 2 Designated EHV charges'!$D:$P,10,FALSE)),"")</f>
        <v/>
      </c>
      <c r="F92" s="63" t="str">
        <f>IFERROR(IF(VLOOKUP($A92,'Annex 2 Designated EHV charges'!$D:$P,11,FALSE)=0,"",VLOOKUP($A92,'Annex 2 Designated EHV charges'!$D:$P,11,FALSE)),"")</f>
        <v/>
      </c>
      <c r="G92" s="63" t="str">
        <f>IFERROR(IF(VLOOKUP($A92,'Annex 2 Designated EHV charges'!$D:$P,12,FALSE)=0,"",VLOOKUP($A92,'Annex 2 Designated EHV charges'!$D:$P,12,FALSE)),"")</f>
        <v/>
      </c>
      <c r="H92" s="53" t="str">
        <f>IFERROR(IF(VLOOKUP($A92,'Annex 2 Designated EHV charges'!$D:$P,13,FALSE)=0,"",VLOOKUP($A92,'Annex 2 Designated EHV charges'!$D:$P,13,FALSE)),"")</f>
        <v/>
      </c>
    </row>
    <row r="93" spans="1:8" x14ac:dyDescent="0.2">
      <c r="A93" s="53" t="str">
        <f t="array" ref="A93">IFERROR(INDEX('Annex 2 Designated EHV charges'!$D$11:$D$58, MATCH(0, IF(ISBLANK('Annex 2 Designated EHV charges'!$D$11:$D$58),1, COUNTIF(A$4:$A92, 'Annex 2 Designated EHV charges'!$D$11:$D$58)), 0)),"")</f>
        <v/>
      </c>
      <c r="B93" s="53" t="str">
        <f>IF($A93="","",VLOOKUP($A93,'Annex 2 Designated EHV charges'!$D:$O,2,0))</f>
        <v/>
      </c>
      <c r="C93" s="61" t="str">
        <f>IF($A93="","",VLOOKUP($A93,'Annex 2 Designated EHV charges'!$D:$O,3,0))</f>
        <v/>
      </c>
      <c r="D93" s="61" t="str">
        <f>IF($A93="","",VLOOKUP($A93,'Annex 2 Designated EHV charges'!$D:$O,4,0))</f>
        <v/>
      </c>
      <c r="E93" s="62" t="str">
        <f>IFERROR(IF(VLOOKUP($A93,'Annex 2 Designated EHV charges'!$D:$P,10,FALSE)=0,"",VLOOKUP($A93,'Annex 2 Designated EHV charges'!$D:$P,10,FALSE)),"")</f>
        <v/>
      </c>
      <c r="F93" s="63" t="str">
        <f>IFERROR(IF(VLOOKUP($A93,'Annex 2 Designated EHV charges'!$D:$P,11,FALSE)=0,"",VLOOKUP($A93,'Annex 2 Designated EHV charges'!$D:$P,11,FALSE)),"")</f>
        <v/>
      </c>
      <c r="G93" s="63" t="str">
        <f>IFERROR(IF(VLOOKUP($A93,'Annex 2 Designated EHV charges'!$D:$P,12,FALSE)=0,"",VLOOKUP($A93,'Annex 2 Designated EHV charges'!$D:$P,12,FALSE)),"")</f>
        <v/>
      </c>
      <c r="H93" s="53" t="str">
        <f>IFERROR(IF(VLOOKUP($A93,'Annex 2 Designated EHV charges'!$D:$P,13,FALSE)=0,"",VLOOKUP($A93,'Annex 2 Designated EHV charges'!$D:$P,13,FALSE)),"")</f>
        <v/>
      </c>
    </row>
    <row r="94" spans="1:8" x14ac:dyDescent="0.2">
      <c r="A94" s="53" t="str">
        <f t="array" ref="A94">IFERROR(INDEX('Annex 2 Designated EHV charges'!$D$11:$D$58, MATCH(0, IF(ISBLANK('Annex 2 Designated EHV charges'!$D$11:$D$58),1, COUNTIF(A$4:$A93, 'Annex 2 Designated EHV charges'!$D$11:$D$58)), 0)),"")</f>
        <v/>
      </c>
      <c r="B94" s="53" t="str">
        <f>IF($A94="","",VLOOKUP($A94,'Annex 2 Designated EHV charges'!$D:$O,2,0))</f>
        <v/>
      </c>
      <c r="C94" s="61" t="str">
        <f>IF($A94="","",VLOOKUP($A94,'Annex 2 Designated EHV charges'!$D:$O,3,0))</f>
        <v/>
      </c>
      <c r="D94" s="61" t="str">
        <f>IF($A94="","",VLOOKUP($A94,'Annex 2 Designated EHV charges'!$D:$O,4,0))</f>
        <v/>
      </c>
      <c r="E94" s="62" t="str">
        <f>IFERROR(IF(VLOOKUP($A94,'Annex 2 Designated EHV charges'!$D:$P,10,FALSE)=0,"",VLOOKUP($A94,'Annex 2 Designated EHV charges'!$D:$P,10,FALSE)),"")</f>
        <v/>
      </c>
      <c r="F94" s="63" t="str">
        <f>IFERROR(IF(VLOOKUP($A94,'Annex 2 Designated EHV charges'!$D:$P,11,FALSE)=0,"",VLOOKUP($A94,'Annex 2 Designated EHV charges'!$D:$P,11,FALSE)),"")</f>
        <v/>
      </c>
      <c r="G94" s="63" t="str">
        <f>IFERROR(IF(VLOOKUP($A94,'Annex 2 Designated EHV charges'!$D:$P,12,FALSE)=0,"",VLOOKUP($A94,'Annex 2 Designated EHV charges'!$D:$P,12,FALSE)),"")</f>
        <v/>
      </c>
      <c r="H94" s="53" t="str">
        <f>IFERROR(IF(VLOOKUP($A94,'Annex 2 Designated EHV charges'!$D:$P,13,FALSE)=0,"",VLOOKUP($A94,'Annex 2 Designated EHV charges'!$D:$P,13,FALSE)),"")</f>
        <v/>
      </c>
    </row>
    <row r="95" spans="1:8" x14ac:dyDescent="0.2">
      <c r="A95" s="53" t="str">
        <f t="array" ref="A95">IFERROR(INDEX('Annex 2 Designated EHV charges'!$D$11:$D$58, MATCH(0, IF(ISBLANK('Annex 2 Designated EHV charges'!$D$11:$D$58),1, COUNTIF(A$4:$A94, 'Annex 2 Designated EHV charges'!$D$11:$D$58)), 0)),"")</f>
        <v/>
      </c>
      <c r="B95" s="53" t="str">
        <f>IF($A95="","",VLOOKUP($A95,'Annex 2 Designated EHV charges'!$D:$O,2,0))</f>
        <v/>
      </c>
      <c r="C95" s="61" t="str">
        <f>IF($A95="","",VLOOKUP($A95,'Annex 2 Designated EHV charges'!$D:$O,3,0))</f>
        <v/>
      </c>
      <c r="D95" s="61" t="str">
        <f>IF($A95="","",VLOOKUP($A95,'Annex 2 Designated EHV charges'!$D:$O,4,0))</f>
        <v/>
      </c>
      <c r="E95" s="62" t="str">
        <f>IFERROR(IF(VLOOKUP($A95,'Annex 2 Designated EHV charges'!$D:$P,10,FALSE)=0,"",VLOOKUP($A95,'Annex 2 Designated EHV charges'!$D:$P,10,FALSE)),"")</f>
        <v/>
      </c>
      <c r="F95" s="63" t="str">
        <f>IFERROR(IF(VLOOKUP($A95,'Annex 2 Designated EHV charges'!$D:$P,11,FALSE)=0,"",VLOOKUP($A95,'Annex 2 Designated EHV charges'!$D:$P,11,FALSE)),"")</f>
        <v/>
      </c>
      <c r="G95" s="63" t="str">
        <f>IFERROR(IF(VLOOKUP($A95,'Annex 2 Designated EHV charges'!$D:$P,12,FALSE)=0,"",VLOOKUP($A95,'Annex 2 Designated EHV charges'!$D:$P,12,FALSE)),"")</f>
        <v/>
      </c>
      <c r="H95" s="53" t="str">
        <f>IFERROR(IF(VLOOKUP($A95,'Annex 2 Designated EHV charges'!$D:$P,13,FALSE)=0,"",VLOOKUP($A95,'Annex 2 Designated EHV charges'!$D:$P,13,FALSE)),"")</f>
        <v/>
      </c>
    </row>
    <row r="96" spans="1:8" x14ac:dyDescent="0.2">
      <c r="A96" s="53" t="str">
        <f t="array" ref="A96">IFERROR(INDEX('Annex 2 Designated EHV charges'!$D$11:$D$58, MATCH(0, IF(ISBLANK('Annex 2 Designated EHV charges'!$D$11:$D$58),1, COUNTIF(A$4:$A95, 'Annex 2 Designated EHV charges'!$D$11:$D$58)), 0)),"")</f>
        <v/>
      </c>
      <c r="B96" s="53" t="str">
        <f>IF($A96="","",VLOOKUP($A96,'Annex 2 Designated EHV charges'!$D:$O,2,0))</f>
        <v/>
      </c>
      <c r="C96" s="61" t="str">
        <f>IF($A96="","",VLOOKUP($A96,'Annex 2 Designated EHV charges'!$D:$O,3,0))</f>
        <v/>
      </c>
      <c r="D96" s="61" t="str">
        <f>IF($A96="","",VLOOKUP($A96,'Annex 2 Designated EHV charges'!$D:$O,4,0))</f>
        <v/>
      </c>
      <c r="E96" s="62" t="str">
        <f>IFERROR(IF(VLOOKUP($A96,'Annex 2 Designated EHV charges'!$D:$P,10,FALSE)=0,"",VLOOKUP($A96,'Annex 2 Designated EHV charges'!$D:$P,10,FALSE)),"")</f>
        <v/>
      </c>
      <c r="F96" s="63" t="str">
        <f>IFERROR(IF(VLOOKUP($A96,'Annex 2 Designated EHV charges'!$D:$P,11,FALSE)=0,"",VLOOKUP($A96,'Annex 2 Designated EHV charges'!$D:$P,11,FALSE)),"")</f>
        <v/>
      </c>
      <c r="G96" s="63" t="str">
        <f>IFERROR(IF(VLOOKUP($A96,'Annex 2 Designated EHV charges'!$D:$P,12,FALSE)=0,"",VLOOKUP($A96,'Annex 2 Designated EHV charges'!$D:$P,12,FALSE)),"")</f>
        <v/>
      </c>
      <c r="H96" s="53" t="str">
        <f>IFERROR(IF(VLOOKUP($A96,'Annex 2 Designated EHV charges'!$D:$P,13,FALSE)=0,"",VLOOKUP($A96,'Annex 2 Designated EHV charges'!$D:$P,13,FALSE)),"")</f>
        <v/>
      </c>
    </row>
    <row r="97" spans="1:8" x14ac:dyDescent="0.2">
      <c r="A97" s="53" t="str">
        <f t="array" ref="A97">IFERROR(INDEX('Annex 2 Designated EHV charges'!$D$11:$D$58, MATCH(0, IF(ISBLANK('Annex 2 Designated EHV charges'!$D$11:$D$58),1, COUNTIF(A$4:$A96, 'Annex 2 Designated EHV charges'!$D$11:$D$58)), 0)),"")</f>
        <v/>
      </c>
      <c r="B97" s="53" t="str">
        <f>IF($A97="","",VLOOKUP($A97,'Annex 2 Designated EHV charges'!$D:$O,2,0))</f>
        <v/>
      </c>
      <c r="C97" s="61" t="str">
        <f>IF($A97="","",VLOOKUP($A97,'Annex 2 Designated EHV charges'!$D:$O,3,0))</f>
        <v/>
      </c>
      <c r="D97" s="61" t="str">
        <f>IF($A97="","",VLOOKUP($A97,'Annex 2 Designated EHV charges'!$D:$O,4,0))</f>
        <v/>
      </c>
      <c r="E97" s="62" t="str">
        <f>IFERROR(IF(VLOOKUP($A97,'Annex 2 Designated EHV charges'!$D:$P,10,FALSE)=0,"",VLOOKUP($A97,'Annex 2 Designated EHV charges'!$D:$P,10,FALSE)),"")</f>
        <v/>
      </c>
      <c r="F97" s="63" t="str">
        <f>IFERROR(IF(VLOOKUP($A97,'Annex 2 Designated EHV charges'!$D:$P,11,FALSE)=0,"",VLOOKUP($A97,'Annex 2 Designated EHV charges'!$D:$P,11,FALSE)),"")</f>
        <v/>
      </c>
      <c r="G97" s="63" t="str">
        <f>IFERROR(IF(VLOOKUP($A97,'Annex 2 Designated EHV charges'!$D:$P,12,FALSE)=0,"",VLOOKUP($A97,'Annex 2 Designated EHV charges'!$D:$P,12,FALSE)),"")</f>
        <v/>
      </c>
      <c r="H97" s="53" t="str">
        <f>IFERROR(IF(VLOOKUP($A97,'Annex 2 Designated EHV charges'!$D:$P,13,FALSE)=0,"",VLOOKUP($A97,'Annex 2 Designated EHV charges'!$D:$P,13,FALSE)),"")</f>
        <v/>
      </c>
    </row>
    <row r="98" spans="1:8" x14ac:dyDescent="0.2">
      <c r="A98" s="53" t="str">
        <f t="array" ref="A98">IFERROR(INDEX('Annex 2 Designated EHV charges'!$D$11:$D$58, MATCH(0, IF(ISBLANK('Annex 2 Designated EHV charges'!$D$11:$D$58),1, COUNTIF(A$4:$A97, 'Annex 2 Designated EHV charges'!$D$11:$D$58)), 0)),"")</f>
        <v/>
      </c>
      <c r="B98" s="53" t="str">
        <f>IF($A98="","",VLOOKUP($A98,'Annex 2 Designated EHV charges'!$D:$O,2,0))</f>
        <v/>
      </c>
      <c r="C98" s="61" t="str">
        <f>IF($A98="","",VLOOKUP($A98,'Annex 2 Designated EHV charges'!$D:$O,3,0))</f>
        <v/>
      </c>
      <c r="D98" s="61" t="str">
        <f>IF($A98="","",VLOOKUP($A98,'Annex 2 Designated EHV charges'!$D:$O,4,0))</f>
        <v/>
      </c>
      <c r="E98" s="62" t="str">
        <f>IFERROR(IF(VLOOKUP($A98,'Annex 2 Designated EHV charges'!$D:$P,10,FALSE)=0,"",VLOOKUP($A98,'Annex 2 Designated EHV charges'!$D:$P,10,FALSE)),"")</f>
        <v/>
      </c>
      <c r="F98" s="63" t="str">
        <f>IFERROR(IF(VLOOKUP($A98,'Annex 2 Designated EHV charges'!$D:$P,11,FALSE)=0,"",VLOOKUP($A98,'Annex 2 Designated EHV charges'!$D:$P,11,FALSE)),"")</f>
        <v/>
      </c>
      <c r="G98" s="63" t="str">
        <f>IFERROR(IF(VLOOKUP($A98,'Annex 2 Designated EHV charges'!$D:$P,12,FALSE)=0,"",VLOOKUP($A98,'Annex 2 Designated EHV charges'!$D:$P,12,FALSE)),"")</f>
        <v/>
      </c>
      <c r="H98" s="53" t="str">
        <f>IFERROR(IF(VLOOKUP($A98,'Annex 2 Designated EHV charges'!$D:$P,13,FALSE)=0,"",VLOOKUP($A98,'Annex 2 Designated EHV charges'!$D:$P,13,FALSE)),"")</f>
        <v/>
      </c>
    </row>
    <row r="99" spans="1:8" x14ac:dyDescent="0.2">
      <c r="A99" s="53" t="str">
        <f t="array" ref="A99">IFERROR(INDEX('Annex 2 Designated EHV charges'!$D$11:$D$58, MATCH(0, IF(ISBLANK('Annex 2 Designated EHV charges'!$D$11:$D$58),1, COUNTIF(A$4:$A98, 'Annex 2 Designated EHV charges'!$D$11:$D$58)), 0)),"")</f>
        <v/>
      </c>
      <c r="B99" s="53" t="str">
        <f>IF($A99="","",VLOOKUP($A99,'Annex 2 Designated EHV charges'!$D:$O,2,0))</f>
        <v/>
      </c>
      <c r="C99" s="61" t="str">
        <f>IF($A99="","",VLOOKUP($A99,'Annex 2 Designated EHV charges'!$D:$O,3,0))</f>
        <v/>
      </c>
      <c r="D99" s="61" t="str">
        <f>IF($A99="","",VLOOKUP($A99,'Annex 2 Designated EHV charges'!$D:$O,4,0))</f>
        <v/>
      </c>
      <c r="E99" s="62" t="str">
        <f>IFERROR(IF(VLOOKUP($A99,'Annex 2 Designated EHV charges'!$D:$P,10,FALSE)=0,"",VLOOKUP($A99,'Annex 2 Designated EHV charges'!$D:$P,10,FALSE)),"")</f>
        <v/>
      </c>
      <c r="F99" s="63" t="str">
        <f>IFERROR(IF(VLOOKUP($A99,'Annex 2 Designated EHV charges'!$D:$P,11,FALSE)=0,"",VLOOKUP($A99,'Annex 2 Designated EHV charges'!$D:$P,11,FALSE)),"")</f>
        <v/>
      </c>
      <c r="G99" s="63" t="str">
        <f>IFERROR(IF(VLOOKUP($A99,'Annex 2 Designated EHV charges'!$D:$P,12,FALSE)=0,"",VLOOKUP($A99,'Annex 2 Designated EHV charges'!$D:$P,12,FALSE)),"")</f>
        <v/>
      </c>
      <c r="H99" s="53" t="str">
        <f>IFERROR(IF(VLOOKUP($A99,'Annex 2 Designated EHV charges'!$D:$P,13,FALSE)=0,"",VLOOKUP($A99,'Annex 2 Designated EHV charges'!$D:$P,13,FALSE)),"")</f>
        <v/>
      </c>
    </row>
    <row r="100" spans="1:8" x14ac:dyDescent="0.2">
      <c r="A100" s="53" t="str">
        <f t="array" ref="A100">IFERROR(INDEX('Annex 2 Designated EHV charges'!$D$11:$D$58, MATCH(0, IF(ISBLANK('Annex 2 Designated EHV charges'!$D$11:$D$58),1, COUNTIF(A$4:$A99, 'Annex 2 Designated EHV charges'!$D$11:$D$58)), 0)),"")</f>
        <v/>
      </c>
      <c r="B100" s="53" t="str">
        <f>IF($A100="","",VLOOKUP($A100,'Annex 2 Designated EHV charges'!$D:$O,2,0))</f>
        <v/>
      </c>
      <c r="C100" s="61" t="str">
        <f>IF($A100="","",VLOOKUP($A100,'Annex 2 Designated EHV charges'!$D:$O,3,0))</f>
        <v/>
      </c>
      <c r="D100" s="61" t="str">
        <f>IF($A100="","",VLOOKUP($A100,'Annex 2 Designated EHV charges'!$D:$O,4,0))</f>
        <v/>
      </c>
      <c r="E100" s="62" t="str">
        <f>IFERROR(IF(VLOOKUP($A100,'Annex 2 Designated EHV charges'!$D:$P,10,FALSE)=0,"",VLOOKUP($A100,'Annex 2 Designated EHV charges'!$D:$P,10,FALSE)),"")</f>
        <v/>
      </c>
      <c r="F100" s="63" t="str">
        <f>IFERROR(IF(VLOOKUP($A100,'Annex 2 Designated EHV charges'!$D:$P,11,FALSE)=0,"",VLOOKUP($A100,'Annex 2 Designated EHV charges'!$D:$P,11,FALSE)),"")</f>
        <v/>
      </c>
      <c r="G100" s="63" t="str">
        <f>IFERROR(IF(VLOOKUP($A100,'Annex 2 Designated EHV charges'!$D:$P,12,FALSE)=0,"",VLOOKUP($A100,'Annex 2 Designated EHV charges'!$D:$P,12,FALSE)),"")</f>
        <v/>
      </c>
      <c r="H100" s="53" t="str">
        <f>IFERROR(IF(VLOOKUP($A100,'Annex 2 Designated EHV charges'!$D:$P,13,FALSE)=0,"",VLOOKUP($A100,'Annex 2 Designated EHV charges'!$D:$P,13,FALSE)),"")</f>
        <v/>
      </c>
    </row>
    <row r="101" spans="1:8" x14ac:dyDescent="0.2">
      <c r="A101" s="53" t="str">
        <f t="array" ref="A101">IFERROR(INDEX('Annex 2 Designated EHV charges'!$D$11:$D$58, MATCH(0, IF(ISBLANK('Annex 2 Designated EHV charges'!$D$11:$D$58),1, COUNTIF(A$4:$A100, 'Annex 2 Designated EHV charges'!$D$11:$D$58)), 0)),"")</f>
        <v/>
      </c>
      <c r="B101" s="53" t="str">
        <f>IF($A101="","",VLOOKUP($A101,'Annex 2 Designated EHV charges'!$D:$O,2,0))</f>
        <v/>
      </c>
      <c r="C101" s="61" t="str">
        <f>IF($A101="","",VLOOKUP($A101,'Annex 2 Designated EHV charges'!$D:$O,3,0))</f>
        <v/>
      </c>
      <c r="D101" s="61" t="str">
        <f>IF($A101="","",VLOOKUP($A101,'Annex 2 Designated EHV charges'!$D:$O,4,0))</f>
        <v/>
      </c>
      <c r="E101" s="62" t="str">
        <f>IFERROR(IF(VLOOKUP($A101,'Annex 2 Designated EHV charges'!$D:$P,10,FALSE)=0,"",VLOOKUP($A101,'Annex 2 Designated EHV charges'!$D:$P,10,FALSE)),"")</f>
        <v/>
      </c>
      <c r="F101" s="63" t="str">
        <f>IFERROR(IF(VLOOKUP($A101,'Annex 2 Designated EHV charges'!$D:$P,11,FALSE)=0,"",VLOOKUP($A101,'Annex 2 Designated EHV charges'!$D:$P,11,FALSE)),"")</f>
        <v/>
      </c>
      <c r="G101" s="63" t="str">
        <f>IFERROR(IF(VLOOKUP($A101,'Annex 2 Designated EHV charges'!$D:$P,12,FALSE)=0,"",VLOOKUP($A101,'Annex 2 Designated EHV charges'!$D:$P,12,FALSE)),"")</f>
        <v/>
      </c>
      <c r="H101" s="53" t="str">
        <f>IFERROR(IF(VLOOKUP($A101,'Annex 2 Designated EHV charges'!$D:$P,13,FALSE)=0,"",VLOOKUP($A101,'Annex 2 Designated EHV charges'!$D:$P,13,FALSE)),"")</f>
        <v/>
      </c>
    </row>
    <row r="102" spans="1:8" x14ac:dyDescent="0.2">
      <c r="A102" s="53" t="str">
        <f t="array" ref="A102">IFERROR(INDEX('Annex 2 Designated EHV charges'!$D$11:$D$58, MATCH(0, IF(ISBLANK('Annex 2 Designated EHV charges'!$D$11:$D$58),1, COUNTIF(A$4:$A101, 'Annex 2 Designated EHV charges'!$D$11:$D$58)), 0)),"")</f>
        <v/>
      </c>
      <c r="B102" s="53" t="str">
        <f>IF($A102="","",VLOOKUP($A102,'Annex 2 Designated EHV charges'!$D:$O,2,0))</f>
        <v/>
      </c>
      <c r="C102" s="61" t="str">
        <f>IF($A102="","",VLOOKUP($A102,'Annex 2 Designated EHV charges'!$D:$O,3,0))</f>
        <v/>
      </c>
      <c r="D102" s="61" t="str">
        <f>IF($A102="","",VLOOKUP($A102,'Annex 2 Designated EHV charges'!$D:$O,4,0))</f>
        <v/>
      </c>
      <c r="E102" s="62" t="str">
        <f>IFERROR(IF(VLOOKUP($A102,'Annex 2 Designated EHV charges'!$D:$P,10,FALSE)=0,"",VLOOKUP($A102,'Annex 2 Designated EHV charges'!$D:$P,10,FALSE)),"")</f>
        <v/>
      </c>
      <c r="F102" s="63" t="str">
        <f>IFERROR(IF(VLOOKUP($A102,'Annex 2 Designated EHV charges'!$D:$P,11,FALSE)=0,"",VLOOKUP($A102,'Annex 2 Designated EHV charges'!$D:$P,11,FALSE)),"")</f>
        <v/>
      </c>
      <c r="G102" s="63" t="str">
        <f>IFERROR(IF(VLOOKUP($A102,'Annex 2 Designated EHV charges'!$D:$P,12,FALSE)=0,"",VLOOKUP($A102,'Annex 2 Designated EHV charges'!$D:$P,12,FALSE)),"")</f>
        <v/>
      </c>
      <c r="H102" s="53" t="str">
        <f>IFERROR(IF(VLOOKUP($A102,'Annex 2 Designated EHV charges'!$D:$P,13,FALSE)=0,"",VLOOKUP($A102,'Annex 2 Designated EHV charges'!$D:$P,13,FALSE)),"")</f>
        <v/>
      </c>
    </row>
    <row r="103" spans="1:8" x14ac:dyDescent="0.2">
      <c r="A103" s="53" t="str">
        <f t="array" ref="A103">IFERROR(INDEX('Annex 2 Designated EHV charges'!$D$11:$D$58, MATCH(0, IF(ISBLANK('Annex 2 Designated EHV charges'!$D$11:$D$58),1, COUNTIF(A$4:$A102, 'Annex 2 Designated EHV charges'!$D$11:$D$58)), 0)),"")</f>
        <v/>
      </c>
      <c r="B103" s="53" t="str">
        <f>IF($A103="","",VLOOKUP($A103,'Annex 2 Designated EHV charges'!$D:$O,2,0))</f>
        <v/>
      </c>
      <c r="C103" s="61" t="str">
        <f>IF($A103="","",VLOOKUP($A103,'Annex 2 Designated EHV charges'!$D:$O,3,0))</f>
        <v/>
      </c>
      <c r="D103" s="61" t="str">
        <f>IF($A103="","",VLOOKUP($A103,'Annex 2 Designated EHV charges'!$D:$O,4,0))</f>
        <v/>
      </c>
      <c r="E103" s="62" t="str">
        <f>IFERROR(IF(VLOOKUP($A103,'Annex 2 Designated EHV charges'!$D:$P,10,FALSE)=0,"",VLOOKUP($A103,'Annex 2 Designated EHV charges'!$D:$P,10,FALSE)),"")</f>
        <v/>
      </c>
      <c r="F103" s="63" t="str">
        <f>IFERROR(IF(VLOOKUP($A103,'Annex 2 Designated EHV charges'!$D:$P,11,FALSE)=0,"",VLOOKUP($A103,'Annex 2 Designated EHV charges'!$D:$P,11,FALSE)),"")</f>
        <v/>
      </c>
      <c r="G103" s="63" t="str">
        <f>IFERROR(IF(VLOOKUP($A103,'Annex 2 Designated EHV charges'!$D:$P,12,FALSE)=0,"",VLOOKUP($A103,'Annex 2 Designated EHV charges'!$D:$P,12,FALSE)),"")</f>
        <v/>
      </c>
      <c r="H103" s="53" t="str">
        <f>IFERROR(IF(VLOOKUP($A103,'Annex 2 Designated EHV charges'!$D:$P,13,FALSE)=0,"",VLOOKUP($A103,'Annex 2 Designated EHV charges'!$D:$P,13,FALSE)),"")</f>
        <v/>
      </c>
    </row>
    <row r="104" spans="1:8" x14ac:dyDescent="0.2">
      <c r="A104" s="53" t="str">
        <f t="array" ref="A104">IFERROR(INDEX('Annex 2 Designated EHV charges'!$D$11:$D$58, MATCH(0, IF(ISBLANK('Annex 2 Designated EHV charges'!$D$11:$D$58),1, COUNTIF(A$4:$A103, 'Annex 2 Designated EHV charges'!$D$11:$D$58)), 0)),"")</f>
        <v/>
      </c>
      <c r="B104" s="53" t="str">
        <f>IF($A104="","",VLOOKUP($A104,'Annex 2 Designated EHV charges'!$D:$O,2,0))</f>
        <v/>
      </c>
      <c r="C104" s="61" t="str">
        <f>IF($A104="","",VLOOKUP($A104,'Annex 2 Designated EHV charges'!$D:$O,3,0))</f>
        <v/>
      </c>
      <c r="D104" s="61" t="str">
        <f>IF($A104="","",VLOOKUP($A104,'Annex 2 Designated EHV charges'!$D:$O,4,0))</f>
        <v/>
      </c>
      <c r="E104" s="62" t="str">
        <f>IFERROR(IF(VLOOKUP($A104,'Annex 2 Designated EHV charges'!$D:$P,10,FALSE)=0,"",VLOOKUP($A104,'Annex 2 Designated EHV charges'!$D:$P,10,FALSE)),"")</f>
        <v/>
      </c>
      <c r="F104" s="63" t="str">
        <f>IFERROR(IF(VLOOKUP($A104,'Annex 2 Designated EHV charges'!$D:$P,11,FALSE)=0,"",VLOOKUP($A104,'Annex 2 Designated EHV charges'!$D:$P,11,FALSE)),"")</f>
        <v/>
      </c>
      <c r="G104" s="63" t="str">
        <f>IFERROR(IF(VLOOKUP($A104,'Annex 2 Designated EHV charges'!$D:$P,12,FALSE)=0,"",VLOOKUP($A104,'Annex 2 Designated EHV charges'!$D:$P,12,FALSE)),"")</f>
        <v/>
      </c>
      <c r="H104" s="53" t="str">
        <f>IFERROR(IF(VLOOKUP($A104,'Annex 2 Designated EHV charges'!$D:$P,13,FALSE)=0,"",VLOOKUP($A104,'Annex 2 Designated EHV charges'!$D:$P,13,FALSE)),"")</f>
        <v/>
      </c>
    </row>
    <row r="105" spans="1:8" x14ac:dyDescent="0.2">
      <c r="A105" s="53" t="str">
        <f t="array" ref="A105">IFERROR(INDEX('Annex 2 Designated EHV charges'!$D$11:$D$58, MATCH(0, IF(ISBLANK('Annex 2 Designated EHV charges'!$D$11:$D$58),1, COUNTIF(A$4:$A104, 'Annex 2 Designated EHV charges'!$D$11:$D$58)), 0)),"")</f>
        <v/>
      </c>
      <c r="B105" s="53" t="str">
        <f>IF($A105="","",VLOOKUP($A105,'Annex 2 Designated EHV charges'!$D:$O,2,0))</f>
        <v/>
      </c>
      <c r="C105" s="61" t="str">
        <f>IF($A105="","",VLOOKUP($A105,'Annex 2 Designated EHV charges'!$D:$O,3,0))</f>
        <v/>
      </c>
      <c r="D105" s="61" t="str">
        <f>IF($A105="","",VLOOKUP($A105,'Annex 2 Designated EHV charges'!$D:$O,4,0))</f>
        <v/>
      </c>
      <c r="E105" s="62" t="str">
        <f>IFERROR(IF(VLOOKUP($A105,'Annex 2 Designated EHV charges'!$D:$P,10,FALSE)=0,"",VLOOKUP($A105,'Annex 2 Designated EHV charges'!$D:$P,10,FALSE)),"")</f>
        <v/>
      </c>
      <c r="F105" s="63" t="str">
        <f>IFERROR(IF(VLOOKUP($A105,'Annex 2 Designated EHV charges'!$D:$P,11,FALSE)=0,"",VLOOKUP($A105,'Annex 2 Designated EHV charges'!$D:$P,11,FALSE)),"")</f>
        <v/>
      </c>
      <c r="G105" s="63" t="str">
        <f>IFERROR(IF(VLOOKUP($A105,'Annex 2 Designated EHV charges'!$D:$P,12,FALSE)=0,"",VLOOKUP($A105,'Annex 2 Designated EHV charges'!$D:$P,12,FALSE)),"")</f>
        <v/>
      </c>
      <c r="H105" s="53" t="str">
        <f>IFERROR(IF(VLOOKUP($A105,'Annex 2 Designated EHV charges'!$D:$P,13,FALSE)=0,"",VLOOKUP($A105,'Annex 2 Designated EHV charges'!$D:$P,13,FALSE)),"")</f>
        <v/>
      </c>
    </row>
    <row r="106" spans="1:8" x14ac:dyDescent="0.2">
      <c r="A106" s="53" t="str">
        <f t="array" ref="A106">IFERROR(INDEX('Annex 2 Designated EHV charges'!$D$11:$D$58, MATCH(0, IF(ISBLANK('Annex 2 Designated EHV charges'!$D$11:$D$58),1, COUNTIF(A$4:$A105, 'Annex 2 Designated EHV charges'!$D$11:$D$58)), 0)),"")</f>
        <v/>
      </c>
      <c r="B106" s="53" t="str">
        <f>IF($A106="","",VLOOKUP($A106,'Annex 2 Designated EHV charges'!$D:$O,2,0))</f>
        <v/>
      </c>
      <c r="C106" s="61" t="str">
        <f>IF($A106="","",VLOOKUP($A106,'Annex 2 Designated EHV charges'!$D:$O,3,0))</f>
        <v/>
      </c>
      <c r="D106" s="61" t="str">
        <f>IF($A106="","",VLOOKUP($A106,'Annex 2 Designated EHV charges'!$D:$O,4,0))</f>
        <v/>
      </c>
      <c r="E106" s="62" t="str">
        <f>IFERROR(IF(VLOOKUP($A106,'Annex 2 Designated EHV charges'!$D:$P,10,FALSE)=0,"",VLOOKUP($A106,'Annex 2 Designated EHV charges'!$D:$P,10,FALSE)),"")</f>
        <v/>
      </c>
      <c r="F106" s="63" t="str">
        <f>IFERROR(IF(VLOOKUP($A106,'Annex 2 Designated EHV charges'!$D:$P,11,FALSE)=0,"",VLOOKUP($A106,'Annex 2 Designated EHV charges'!$D:$P,11,FALSE)),"")</f>
        <v/>
      </c>
      <c r="G106" s="63" t="str">
        <f>IFERROR(IF(VLOOKUP($A106,'Annex 2 Designated EHV charges'!$D:$P,12,FALSE)=0,"",VLOOKUP($A106,'Annex 2 Designated EHV charges'!$D:$P,12,FALSE)),"")</f>
        <v/>
      </c>
      <c r="H106" s="53" t="str">
        <f>IFERROR(IF(VLOOKUP($A106,'Annex 2 Designated EHV charges'!$D:$P,13,FALSE)=0,"",VLOOKUP($A106,'Annex 2 Designated EHV charges'!$D:$P,13,FALSE)),"")</f>
        <v/>
      </c>
    </row>
    <row r="107" spans="1:8" x14ac:dyDescent="0.2">
      <c r="A107" s="53" t="str">
        <f t="array" ref="A107">IFERROR(INDEX('Annex 2 Designated EHV charges'!$D$11:$D$58, MATCH(0, IF(ISBLANK('Annex 2 Designated EHV charges'!$D$11:$D$58),1, COUNTIF(A$4:$A106, 'Annex 2 Designated EHV charges'!$D$11:$D$58)), 0)),"")</f>
        <v/>
      </c>
      <c r="B107" s="53" t="str">
        <f>IF($A107="","",VLOOKUP($A107,'Annex 2 Designated EHV charges'!$D:$O,2,0))</f>
        <v/>
      </c>
      <c r="C107" s="61" t="str">
        <f>IF($A107="","",VLOOKUP($A107,'Annex 2 Designated EHV charges'!$D:$O,3,0))</f>
        <v/>
      </c>
      <c r="D107" s="61" t="str">
        <f>IF($A107="","",VLOOKUP($A107,'Annex 2 Designated EHV charges'!$D:$O,4,0))</f>
        <v/>
      </c>
      <c r="E107" s="62" t="str">
        <f>IFERROR(IF(VLOOKUP($A107,'Annex 2 Designated EHV charges'!$D:$P,10,FALSE)=0,"",VLOOKUP($A107,'Annex 2 Designated EHV charges'!$D:$P,10,FALSE)),"")</f>
        <v/>
      </c>
      <c r="F107" s="63" t="str">
        <f>IFERROR(IF(VLOOKUP($A107,'Annex 2 Designated EHV charges'!$D:$P,11,FALSE)=0,"",VLOOKUP($A107,'Annex 2 Designated EHV charges'!$D:$P,11,FALSE)),"")</f>
        <v/>
      </c>
      <c r="G107" s="63" t="str">
        <f>IFERROR(IF(VLOOKUP($A107,'Annex 2 Designated EHV charges'!$D:$P,12,FALSE)=0,"",VLOOKUP($A107,'Annex 2 Designated EHV charges'!$D:$P,12,FALSE)),"")</f>
        <v/>
      </c>
      <c r="H107" s="53" t="str">
        <f>IFERROR(IF(VLOOKUP($A107,'Annex 2 Designated EHV charges'!$D:$P,13,FALSE)=0,"",VLOOKUP($A107,'Annex 2 Designated EHV charges'!$D:$P,13,FALSE)),"")</f>
        <v/>
      </c>
    </row>
    <row r="108" spans="1:8" x14ac:dyDescent="0.2">
      <c r="A108" s="53" t="str">
        <f t="array" ref="A108">IFERROR(INDEX('Annex 2 Designated EHV charges'!$D$11:$D$58, MATCH(0, IF(ISBLANK('Annex 2 Designated EHV charges'!$D$11:$D$58),1, COUNTIF(A$4:$A107, 'Annex 2 Designated EHV charges'!$D$11:$D$58)), 0)),"")</f>
        <v/>
      </c>
      <c r="B108" s="53" t="str">
        <f>IF($A108="","",VLOOKUP($A108,'Annex 2 Designated EHV charges'!$D:$O,2,0))</f>
        <v/>
      </c>
      <c r="C108" s="61" t="str">
        <f>IF($A108="","",VLOOKUP($A108,'Annex 2 Designated EHV charges'!$D:$O,3,0))</f>
        <v/>
      </c>
      <c r="D108" s="61" t="str">
        <f>IF($A108="","",VLOOKUP($A108,'Annex 2 Designated EHV charges'!$D:$O,4,0))</f>
        <v/>
      </c>
      <c r="E108" s="62" t="str">
        <f>IFERROR(IF(VLOOKUP($A108,'Annex 2 Designated EHV charges'!$D:$P,10,FALSE)=0,"",VLOOKUP($A108,'Annex 2 Designated EHV charges'!$D:$P,10,FALSE)),"")</f>
        <v/>
      </c>
      <c r="F108" s="63" t="str">
        <f>IFERROR(IF(VLOOKUP($A108,'Annex 2 Designated EHV charges'!$D:$P,11,FALSE)=0,"",VLOOKUP($A108,'Annex 2 Designated EHV charges'!$D:$P,11,FALSE)),"")</f>
        <v/>
      </c>
      <c r="G108" s="63" t="str">
        <f>IFERROR(IF(VLOOKUP($A108,'Annex 2 Designated EHV charges'!$D:$P,12,FALSE)=0,"",VLOOKUP($A108,'Annex 2 Designated EHV charges'!$D:$P,12,FALSE)),"")</f>
        <v/>
      </c>
      <c r="H108" s="53" t="str">
        <f>IFERROR(IF(VLOOKUP($A108,'Annex 2 Designated EHV charges'!$D:$P,13,FALSE)=0,"",VLOOKUP($A108,'Annex 2 Designated EHV charges'!$D:$P,13,FALSE)),"")</f>
        <v/>
      </c>
    </row>
    <row r="109" spans="1:8" x14ac:dyDescent="0.2">
      <c r="A109" s="53" t="str">
        <f t="array" ref="A109">IFERROR(INDEX('Annex 2 Designated EHV charges'!$D$11:$D$58, MATCH(0, IF(ISBLANK('Annex 2 Designated EHV charges'!$D$11:$D$58),1, COUNTIF(A$4:$A108, 'Annex 2 Designated EHV charges'!$D$11:$D$58)), 0)),"")</f>
        <v/>
      </c>
      <c r="B109" s="53" t="str">
        <f>IF($A109="","",VLOOKUP($A109,'Annex 2 Designated EHV charges'!$D:$O,2,0))</f>
        <v/>
      </c>
      <c r="C109" s="61" t="str">
        <f>IF($A109="","",VLOOKUP($A109,'Annex 2 Designated EHV charges'!$D:$O,3,0))</f>
        <v/>
      </c>
      <c r="D109" s="61" t="str">
        <f>IF($A109="","",VLOOKUP($A109,'Annex 2 Designated EHV charges'!$D:$O,4,0))</f>
        <v/>
      </c>
      <c r="E109" s="62" t="str">
        <f>IFERROR(IF(VLOOKUP($A109,'Annex 2 Designated EHV charges'!$D:$P,10,FALSE)=0,"",VLOOKUP($A109,'Annex 2 Designated EHV charges'!$D:$P,10,FALSE)),"")</f>
        <v/>
      </c>
      <c r="F109" s="63" t="str">
        <f>IFERROR(IF(VLOOKUP($A109,'Annex 2 Designated EHV charges'!$D:$P,11,FALSE)=0,"",VLOOKUP($A109,'Annex 2 Designated EHV charges'!$D:$P,11,FALSE)),"")</f>
        <v/>
      </c>
      <c r="G109" s="63" t="str">
        <f>IFERROR(IF(VLOOKUP($A109,'Annex 2 Designated EHV charges'!$D:$P,12,FALSE)=0,"",VLOOKUP($A109,'Annex 2 Designated EHV charges'!$D:$P,12,FALSE)),"")</f>
        <v/>
      </c>
      <c r="H109" s="53" t="str">
        <f>IFERROR(IF(VLOOKUP($A109,'Annex 2 Designated EHV charges'!$D:$P,13,FALSE)=0,"",VLOOKUP($A109,'Annex 2 Designated EHV charges'!$D:$P,13,FALSE)),"")</f>
        <v/>
      </c>
    </row>
    <row r="110" spans="1:8" x14ac:dyDescent="0.2">
      <c r="A110" s="53" t="str">
        <f t="array" ref="A110">IFERROR(INDEX('Annex 2 Designated EHV charges'!$D$11:$D$58, MATCH(0, IF(ISBLANK('Annex 2 Designated EHV charges'!$D$11:$D$58),1, COUNTIF(A$4:$A109, 'Annex 2 Designated EHV charges'!$D$11:$D$58)), 0)),"")</f>
        <v/>
      </c>
      <c r="B110" s="53" t="str">
        <f>IF($A110="","",VLOOKUP($A110,'Annex 2 Designated EHV charges'!$D:$O,2,0))</f>
        <v/>
      </c>
      <c r="C110" s="61" t="str">
        <f>IF($A110="","",VLOOKUP($A110,'Annex 2 Designated EHV charges'!$D:$O,3,0))</f>
        <v/>
      </c>
      <c r="D110" s="61" t="str">
        <f>IF($A110="","",VLOOKUP($A110,'Annex 2 Designated EHV charges'!$D:$O,4,0))</f>
        <v/>
      </c>
      <c r="E110" s="62" t="str">
        <f>IFERROR(IF(VLOOKUP($A110,'Annex 2 Designated EHV charges'!$D:$P,10,FALSE)=0,"",VLOOKUP($A110,'Annex 2 Designated EHV charges'!$D:$P,10,FALSE)),"")</f>
        <v/>
      </c>
      <c r="F110" s="63" t="str">
        <f>IFERROR(IF(VLOOKUP($A110,'Annex 2 Designated EHV charges'!$D:$P,11,FALSE)=0,"",VLOOKUP($A110,'Annex 2 Designated EHV charges'!$D:$P,11,FALSE)),"")</f>
        <v/>
      </c>
      <c r="G110" s="63" t="str">
        <f>IFERROR(IF(VLOOKUP($A110,'Annex 2 Designated EHV charges'!$D:$P,12,FALSE)=0,"",VLOOKUP($A110,'Annex 2 Designated EHV charges'!$D:$P,12,FALSE)),"")</f>
        <v/>
      </c>
      <c r="H110" s="53" t="str">
        <f>IFERROR(IF(VLOOKUP($A110,'Annex 2 Designated EHV charges'!$D:$P,13,FALSE)=0,"",VLOOKUP($A110,'Annex 2 Designated EHV charges'!$D:$P,13,FALSE)),"")</f>
        <v/>
      </c>
    </row>
    <row r="111" spans="1:8" x14ac:dyDescent="0.2">
      <c r="A111" s="53" t="str">
        <f t="array" ref="A111">IFERROR(INDEX('Annex 2 Designated EHV charges'!$D$11:$D$58, MATCH(0, IF(ISBLANK('Annex 2 Designated EHV charges'!$D$11:$D$58),1, COUNTIF(A$4:$A110, 'Annex 2 Designated EHV charges'!$D$11:$D$58)), 0)),"")</f>
        <v/>
      </c>
      <c r="B111" s="53" t="str">
        <f>IF($A111="","",VLOOKUP($A111,'Annex 2 Designated EHV charges'!$D:$O,2,0))</f>
        <v/>
      </c>
      <c r="C111" s="61" t="str">
        <f>IF($A111="","",VLOOKUP($A111,'Annex 2 Designated EHV charges'!$D:$O,3,0))</f>
        <v/>
      </c>
      <c r="D111" s="61" t="str">
        <f>IF($A111="","",VLOOKUP($A111,'Annex 2 Designated EHV charges'!$D:$O,4,0))</f>
        <v/>
      </c>
      <c r="E111" s="62" t="str">
        <f>IFERROR(IF(VLOOKUP($A111,'Annex 2 Designated EHV charges'!$D:$P,10,FALSE)=0,"",VLOOKUP($A111,'Annex 2 Designated EHV charges'!$D:$P,10,FALSE)),"")</f>
        <v/>
      </c>
      <c r="F111" s="63" t="str">
        <f>IFERROR(IF(VLOOKUP($A111,'Annex 2 Designated EHV charges'!$D:$P,11,FALSE)=0,"",VLOOKUP($A111,'Annex 2 Designated EHV charges'!$D:$P,11,FALSE)),"")</f>
        <v/>
      </c>
      <c r="G111" s="63" t="str">
        <f>IFERROR(IF(VLOOKUP($A111,'Annex 2 Designated EHV charges'!$D:$P,12,FALSE)=0,"",VLOOKUP($A111,'Annex 2 Designated EHV charges'!$D:$P,12,FALSE)),"")</f>
        <v/>
      </c>
      <c r="H111" s="53" t="str">
        <f>IFERROR(IF(VLOOKUP($A111,'Annex 2 Designated EHV charges'!$D:$P,13,FALSE)=0,"",VLOOKUP($A111,'Annex 2 Designated EHV charges'!$D:$P,13,FALSE)),"")</f>
        <v/>
      </c>
    </row>
    <row r="112" spans="1:8" x14ac:dyDescent="0.2">
      <c r="A112" s="53" t="str">
        <f t="array" ref="A112">IFERROR(INDEX('Annex 2 Designated EHV charges'!$D$11:$D$58, MATCH(0, IF(ISBLANK('Annex 2 Designated EHV charges'!$D$11:$D$58),1, COUNTIF(A$4:$A111, 'Annex 2 Designated EHV charges'!$D$11:$D$58)), 0)),"")</f>
        <v/>
      </c>
      <c r="B112" s="53" t="str">
        <f>IF($A112="","",VLOOKUP($A112,'Annex 2 Designated EHV charges'!$D:$O,2,0))</f>
        <v/>
      </c>
      <c r="C112" s="61" t="str">
        <f>IF($A112="","",VLOOKUP($A112,'Annex 2 Designated EHV charges'!$D:$O,3,0))</f>
        <v/>
      </c>
      <c r="D112" s="61" t="str">
        <f>IF($A112="","",VLOOKUP($A112,'Annex 2 Designated EHV charges'!$D:$O,4,0))</f>
        <v/>
      </c>
      <c r="E112" s="62" t="str">
        <f>IFERROR(IF(VLOOKUP($A112,'Annex 2 Designated EHV charges'!$D:$P,10,FALSE)=0,"",VLOOKUP($A112,'Annex 2 Designated EHV charges'!$D:$P,10,FALSE)),"")</f>
        <v/>
      </c>
      <c r="F112" s="63" t="str">
        <f>IFERROR(IF(VLOOKUP($A112,'Annex 2 Designated EHV charges'!$D:$P,11,FALSE)=0,"",VLOOKUP($A112,'Annex 2 Designated EHV charges'!$D:$P,11,FALSE)),"")</f>
        <v/>
      </c>
      <c r="G112" s="63" t="str">
        <f>IFERROR(IF(VLOOKUP($A112,'Annex 2 Designated EHV charges'!$D:$P,12,FALSE)=0,"",VLOOKUP($A112,'Annex 2 Designated EHV charges'!$D:$P,12,FALSE)),"")</f>
        <v/>
      </c>
      <c r="H112" s="53" t="str">
        <f>IFERROR(IF(VLOOKUP($A112,'Annex 2 Designated EHV charges'!$D:$P,13,FALSE)=0,"",VLOOKUP($A112,'Annex 2 Designated EHV charges'!$D:$P,13,FALSE)),"")</f>
        <v/>
      </c>
    </row>
    <row r="113" spans="1:8" x14ac:dyDescent="0.2">
      <c r="A113" s="53" t="str">
        <f t="array" ref="A113">IFERROR(INDEX('Annex 2 Designated EHV charges'!$D$11:$D$58, MATCH(0, IF(ISBLANK('Annex 2 Designated EHV charges'!$D$11:$D$58),1, COUNTIF(A$4:$A112, 'Annex 2 Designated EHV charges'!$D$11:$D$58)), 0)),"")</f>
        <v/>
      </c>
      <c r="B113" s="53" t="str">
        <f>IF($A113="","",VLOOKUP($A113,'Annex 2 Designated EHV charges'!$D:$O,2,0))</f>
        <v/>
      </c>
      <c r="C113" s="61" t="str">
        <f>IF($A113="","",VLOOKUP($A113,'Annex 2 Designated EHV charges'!$D:$O,3,0))</f>
        <v/>
      </c>
      <c r="D113" s="61" t="str">
        <f>IF($A113="","",VLOOKUP($A113,'Annex 2 Designated EHV charges'!$D:$O,4,0))</f>
        <v/>
      </c>
      <c r="E113" s="62" t="str">
        <f>IFERROR(IF(VLOOKUP($A113,'Annex 2 Designated EHV charges'!$D:$P,10,FALSE)=0,"",VLOOKUP($A113,'Annex 2 Designated EHV charges'!$D:$P,10,FALSE)),"")</f>
        <v/>
      </c>
      <c r="F113" s="63" t="str">
        <f>IFERROR(IF(VLOOKUP($A113,'Annex 2 Designated EHV charges'!$D:$P,11,FALSE)=0,"",VLOOKUP($A113,'Annex 2 Designated EHV charges'!$D:$P,11,FALSE)),"")</f>
        <v/>
      </c>
      <c r="G113" s="63" t="str">
        <f>IFERROR(IF(VLOOKUP($A113,'Annex 2 Designated EHV charges'!$D:$P,12,FALSE)=0,"",VLOOKUP($A113,'Annex 2 Designated EHV charges'!$D:$P,12,FALSE)),"")</f>
        <v/>
      </c>
      <c r="H113" s="53" t="str">
        <f>IFERROR(IF(VLOOKUP($A113,'Annex 2 Designated EHV charges'!$D:$P,13,FALSE)=0,"",VLOOKUP($A113,'Annex 2 Designated EHV charges'!$D:$P,13,FALSE)),"")</f>
        <v/>
      </c>
    </row>
    <row r="114" spans="1:8" x14ac:dyDescent="0.2">
      <c r="A114" s="53" t="str">
        <f t="array" ref="A114">IFERROR(INDEX('Annex 2 Designated EHV charges'!$D$11:$D$58, MATCH(0, IF(ISBLANK('Annex 2 Designated EHV charges'!$D$11:$D$58),1, COUNTIF(A$4:$A113, 'Annex 2 Designated EHV charges'!$D$11:$D$58)), 0)),"")</f>
        <v/>
      </c>
      <c r="B114" s="53" t="str">
        <f>IF($A114="","",VLOOKUP($A114,'Annex 2 Designated EHV charges'!$D:$O,2,0))</f>
        <v/>
      </c>
      <c r="C114" s="61" t="str">
        <f>IF($A114="","",VLOOKUP($A114,'Annex 2 Designated EHV charges'!$D:$O,3,0))</f>
        <v/>
      </c>
      <c r="D114" s="61" t="str">
        <f>IF($A114="","",VLOOKUP($A114,'Annex 2 Designated EHV charges'!$D:$O,4,0))</f>
        <v/>
      </c>
      <c r="E114" s="62" t="str">
        <f>IFERROR(IF(VLOOKUP($A114,'Annex 2 Designated EHV charges'!$D:$P,10,FALSE)=0,"",VLOOKUP($A114,'Annex 2 Designated EHV charges'!$D:$P,10,FALSE)),"")</f>
        <v/>
      </c>
      <c r="F114" s="63" t="str">
        <f>IFERROR(IF(VLOOKUP($A114,'Annex 2 Designated EHV charges'!$D:$P,11,FALSE)=0,"",VLOOKUP($A114,'Annex 2 Designated EHV charges'!$D:$P,11,FALSE)),"")</f>
        <v/>
      </c>
      <c r="G114" s="63" t="str">
        <f>IFERROR(IF(VLOOKUP($A114,'Annex 2 Designated EHV charges'!$D:$P,12,FALSE)=0,"",VLOOKUP($A114,'Annex 2 Designated EHV charges'!$D:$P,12,FALSE)),"")</f>
        <v/>
      </c>
      <c r="H114" s="53" t="str">
        <f>IFERROR(IF(VLOOKUP($A114,'Annex 2 Designated EHV charges'!$D:$P,13,FALSE)=0,"",VLOOKUP($A114,'Annex 2 Designated EHV charges'!$D:$P,13,FALSE)),"")</f>
        <v/>
      </c>
    </row>
    <row r="115" spans="1:8" x14ac:dyDescent="0.2">
      <c r="A115" s="53" t="str">
        <f t="array" ref="A115">IFERROR(INDEX('Annex 2 Designated EHV charges'!$D$11:$D$58, MATCH(0, IF(ISBLANK('Annex 2 Designated EHV charges'!$D$11:$D$58),1, COUNTIF(A$4:$A114, 'Annex 2 Designated EHV charges'!$D$11:$D$58)), 0)),"")</f>
        <v/>
      </c>
      <c r="B115" s="53" t="str">
        <f>IF($A115="","",VLOOKUP($A115,'Annex 2 Designated EHV charges'!$D:$O,2,0))</f>
        <v/>
      </c>
      <c r="C115" s="61" t="str">
        <f>IF($A115="","",VLOOKUP($A115,'Annex 2 Designated EHV charges'!$D:$O,3,0))</f>
        <v/>
      </c>
      <c r="D115" s="61" t="str">
        <f>IF($A115="","",VLOOKUP($A115,'Annex 2 Designated EHV charges'!$D:$O,4,0))</f>
        <v/>
      </c>
      <c r="E115" s="62" t="str">
        <f>IFERROR(IF(VLOOKUP($A115,'Annex 2 Designated EHV charges'!$D:$P,10,FALSE)=0,"",VLOOKUP($A115,'Annex 2 Designated EHV charges'!$D:$P,10,FALSE)),"")</f>
        <v/>
      </c>
      <c r="F115" s="63" t="str">
        <f>IFERROR(IF(VLOOKUP($A115,'Annex 2 Designated EHV charges'!$D:$P,11,FALSE)=0,"",VLOOKUP($A115,'Annex 2 Designated EHV charges'!$D:$P,11,FALSE)),"")</f>
        <v/>
      </c>
      <c r="G115" s="63" t="str">
        <f>IFERROR(IF(VLOOKUP($A115,'Annex 2 Designated EHV charges'!$D:$P,12,FALSE)=0,"",VLOOKUP($A115,'Annex 2 Designated EHV charges'!$D:$P,12,FALSE)),"")</f>
        <v/>
      </c>
      <c r="H115" s="53" t="str">
        <f>IFERROR(IF(VLOOKUP($A115,'Annex 2 Designated EHV charges'!$D:$P,13,FALSE)=0,"",VLOOKUP($A115,'Annex 2 Designated EHV charges'!$D:$P,13,FALSE)),"")</f>
        <v/>
      </c>
    </row>
    <row r="116" spans="1:8" x14ac:dyDescent="0.2">
      <c r="A116" s="53" t="str">
        <f t="array" ref="A116">IFERROR(INDEX('Annex 2 Designated EHV charges'!$D$11:$D$58, MATCH(0, IF(ISBLANK('Annex 2 Designated EHV charges'!$D$11:$D$58),1, COUNTIF(A$4:$A115, 'Annex 2 Designated EHV charges'!$D$11:$D$58)), 0)),"")</f>
        <v/>
      </c>
      <c r="B116" s="53" t="str">
        <f>IF($A116="","",VLOOKUP($A116,'Annex 2 Designated EHV charges'!$D:$O,2,0))</f>
        <v/>
      </c>
      <c r="C116" s="61" t="str">
        <f>IF($A116="","",VLOOKUP($A116,'Annex 2 Designated EHV charges'!$D:$O,3,0))</f>
        <v/>
      </c>
      <c r="D116" s="61" t="str">
        <f>IF($A116="","",VLOOKUP($A116,'Annex 2 Designated EHV charges'!$D:$O,4,0))</f>
        <v/>
      </c>
      <c r="E116" s="62" t="str">
        <f>IFERROR(IF(VLOOKUP($A116,'Annex 2 Designated EHV charges'!$D:$P,10,FALSE)=0,"",VLOOKUP($A116,'Annex 2 Designated EHV charges'!$D:$P,10,FALSE)),"")</f>
        <v/>
      </c>
      <c r="F116" s="63" t="str">
        <f>IFERROR(IF(VLOOKUP($A116,'Annex 2 Designated EHV charges'!$D:$P,11,FALSE)=0,"",VLOOKUP($A116,'Annex 2 Designated EHV charges'!$D:$P,11,FALSE)),"")</f>
        <v/>
      </c>
      <c r="G116" s="63" t="str">
        <f>IFERROR(IF(VLOOKUP($A116,'Annex 2 Designated EHV charges'!$D:$P,12,FALSE)=0,"",VLOOKUP($A116,'Annex 2 Designated EHV charges'!$D:$P,12,FALSE)),"")</f>
        <v/>
      </c>
      <c r="H116" s="53" t="str">
        <f>IFERROR(IF(VLOOKUP($A116,'Annex 2 Designated EHV charges'!$D:$P,13,FALSE)=0,"",VLOOKUP($A116,'Annex 2 Designated EHV charges'!$D:$P,13,FALSE)),"")</f>
        <v/>
      </c>
    </row>
    <row r="117" spans="1:8" x14ac:dyDescent="0.2">
      <c r="A117" s="53" t="str">
        <f t="array" ref="A117">IFERROR(INDEX('Annex 2 Designated EHV charges'!$D$11:$D$58, MATCH(0, IF(ISBLANK('Annex 2 Designated EHV charges'!$D$11:$D$58),1, COUNTIF(A$4:$A116, 'Annex 2 Designated EHV charges'!$D$11:$D$58)), 0)),"")</f>
        <v/>
      </c>
      <c r="B117" s="53" t="str">
        <f>IF($A117="","",VLOOKUP($A117,'Annex 2 Designated EHV charges'!$D:$O,2,0))</f>
        <v/>
      </c>
      <c r="C117" s="61" t="str">
        <f>IF($A117="","",VLOOKUP($A117,'Annex 2 Designated EHV charges'!$D:$O,3,0))</f>
        <v/>
      </c>
      <c r="D117" s="61" t="str">
        <f>IF($A117="","",VLOOKUP($A117,'Annex 2 Designated EHV charges'!$D:$O,4,0))</f>
        <v/>
      </c>
      <c r="E117" s="62" t="str">
        <f>IFERROR(IF(VLOOKUP($A117,'Annex 2 Designated EHV charges'!$D:$P,10,FALSE)=0,"",VLOOKUP($A117,'Annex 2 Designated EHV charges'!$D:$P,10,FALSE)),"")</f>
        <v/>
      </c>
      <c r="F117" s="63" t="str">
        <f>IFERROR(IF(VLOOKUP($A117,'Annex 2 Designated EHV charges'!$D:$P,11,FALSE)=0,"",VLOOKUP($A117,'Annex 2 Designated EHV charges'!$D:$P,11,FALSE)),"")</f>
        <v/>
      </c>
      <c r="G117" s="63" t="str">
        <f>IFERROR(IF(VLOOKUP($A117,'Annex 2 Designated EHV charges'!$D:$P,12,FALSE)=0,"",VLOOKUP($A117,'Annex 2 Designated EHV charges'!$D:$P,12,FALSE)),"")</f>
        <v/>
      </c>
      <c r="H117" s="53" t="str">
        <f>IFERROR(IF(VLOOKUP($A117,'Annex 2 Designated EHV charges'!$D:$P,13,FALSE)=0,"",VLOOKUP($A117,'Annex 2 Designated EHV charges'!$D:$P,13,FALSE)),"")</f>
        <v/>
      </c>
    </row>
    <row r="118" spans="1:8" x14ac:dyDescent="0.2">
      <c r="A118" s="53" t="str">
        <f t="array" ref="A118">IFERROR(INDEX('Annex 2 Designated EHV charges'!$D$11:$D$58, MATCH(0, IF(ISBLANK('Annex 2 Designated EHV charges'!$D$11:$D$58),1, COUNTIF(A$4:$A117, 'Annex 2 Designated EHV charges'!$D$11:$D$58)), 0)),"")</f>
        <v/>
      </c>
      <c r="B118" s="53" t="str">
        <f>IF($A118="","",VLOOKUP($A118,'Annex 2 Designated EHV charges'!$D:$O,2,0))</f>
        <v/>
      </c>
      <c r="C118" s="61" t="str">
        <f>IF($A118="","",VLOOKUP($A118,'Annex 2 Designated EHV charges'!$D:$O,3,0))</f>
        <v/>
      </c>
      <c r="D118" s="61" t="str">
        <f>IF($A118="","",VLOOKUP($A118,'Annex 2 Designated EHV charges'!$D:$O,4,0))</f>
        <v/>
      </c>
      <c r="E118" s="62" t="str">
        <f>IFERROR(IF(VLOOKUP($A118,'Annex 2 Designated EHV charges'!$D:$P,10,FALSE)=0,"",VLOOKUP($A118,'Annex 2 Designated EHV charges'!$D:$P,10,FALSE)),"")</f>
        <v/>
      </c>
      <c r="F118" s="63" t="str">
        <f>IFERROR(IF(VLOOKUP($A118,'Annex 2 Designated EHV charges'!$D:$P,11,FALSE)=0,"",VLOOKUP($A118,'Annex 2 Designated EHV charges'!$D:$P,11,FALSE)),"")</f>
        <v/>
      </c>
      <c r="G118" s="63" t="str">
        <f>IFERROR(IF(VLOOKUP($A118,'Annex 2 Designated EHV charges'!$D:$P,12,FALSE)=0,"",VLOOKUP($A118,'Annex 2 Designated EHV charges'!$D:$P,12,FALSE)),"")</f>
        <v/>
      </c>
      <c r="H118" s="53" t="str">
        <f>IFERROR(IF(VLOOKUP($A118,'Annex 2 Designated EHV charges'!$D:$P,13,FALSE)=0,"",VLOOKUP($A118,'Annex 2 Designated EHV charges'!$D:$P,13,FALSE)),"")</f>
        <v/>
      </c>
    </row>
    <row r="119" spans="1:8" x14ac:dyDescent="0.2">
      <c r="A119" s="53" t="str">
        <f t="array" ref="A119">IFERROR(INDEX('Annex 2 Designated EHV charges'!$D$11:$D$58, MATCH(0, IF(ISBLANK('Annex 2 Designated EHV charges'!$D$11:$D$58),1, COUNTIF(A$4:$A118, 'Annex 2 Designated EHV charges'!$D$11:$D$58)), 0)),"")</f>
        <v/>
      </c>
      <c r="B119" s="53" t="str">
        <f>IF($A119="","",VLOOKUP($A119,'Annex 2 Designated EHV charges'!$D:$O,2,0))</f>
        <v/>
      </c>
      <c r="C119" s="61" t="str">
        <f>IF($A119="","",VLOOKUP($A119,'Annex 2 Designated EHV charges'!$D:$O,3,0))</f>
        <v/>
      </c>
      <c r="D119" s="61" t="str">
        <f>IF($A119="","",VLOOKUP($A119,'Annex 2 Designated EHV charges'!$D:$O,4,0))</f>
        <v/>
      </c>
      <c r="E119" s="62" t="str">
        <f>IFERROR(IF(VLOOKUP($A119,'Annex 2 Designated EHV charges'!$D:$P,10,FALSE)=0,"",VLOOKUP($A119,'Annex 2 Designated EHV charges'!$D:$P,10,FALSE)),"")</f>
        <v/>
      </c>
      <c r="F119" s="63" t="str">
        <f>IFERROR(IF(VLOOKUP($A119,'Annex 2 Designated EHV charges'!$D:$P,11,FALSE)=0,"",VLOOKUP($A119,'Annex 2 Designated EHV charges'!$D:$P,11,FALSE)),"")</f>
        <v/>
      </c>
      <c r="G119" s="63" t="str">
        <f>IFERROR(IF(VLOOKUP($A119,'Annex 2 Designated EHV charges'!$D:$P,12,FALSE)=0,"",VLOOKUP($A119,'Annex 2 Designated EHV charges'!$D:$P,12,FALSE)),"")</f>
        <v/>
      </c>
      <c r="H119" s="53" t="str">
        <f>IFERROR(IF(VLOOKUP($A119,'Annex 2 Designated EHV charges'!$D:$P,13,FALSE)=0,"",VLOOKUP($A119,'Annex 2 Designated EHV charges'!$D:$P,13,FALSE)),"")</f>
        <v/>
      </c>
    </row>
    <row r="120" spans="1:8" x14ac:dyDescent="0.2">
      <c r="A120" s="53" t="str">
        <f t="array" ref="A120">IFERROR(INDEX('Annex 2 Designated EHV charges'!$D$11:$D$58, MATCH(0, IF(ISBLANK('Annex 2 Designated EHV charges'!$D$11:$D$58),1, COUNTIF(A$4:$A119, 'Annex 2 Designated EHV charges'!$D$11:$D$58)), 0)),"")</f>
        <v/>
      </c>
      <c r="B120" s="53" t="str">
        <f>IF($A120="","",VLOOKUP($A120,'Annex 2 Designated EHV charges'!$D:$O,2,0))</f>
        <v/>
      </c>
      <c r="C120" s="61" t="str">
        <f>IF($A120="","",VLOOKUP($A120,'Annex 2 Designated EHV charges'!$D:$O,3,0))</f>
        <v/>
      </c>
      <c r="D120" s="61" t="str">
        <f>IF($A120="","",VLOOKUP($A120,'Annex 2 Designated EHV charges'!$D:$O,4,0))</f>
        <v/>
      </c>
      <c r="E120" s="62" t="str">
        <f>IFERROR(IF(VLOOKUP($A120,'Annex 2 Designated EHV charges'!$D:$P,10,FALSE)=0,"",VLOOKUP($A120,'Annex 2 Designated EHV charges'!$D:$P,10,FALSE)),"")</f>
        <v/>
      </c>
      <c r="F120" s="63" t="str">
        <f>IFERROR(IF(VLOOKUP($A120,'Annex 2 Designated EHV charges'!$D:$P,11,FALSE)=0,"",VLOOKUP($A120,'Annex 2 Designated EHV charges'!$D:$P,11,FALSE)),"")</f>
        <v/>
      </c>
      <c r="G120" s="63" t="str">
        <f>IFERROR(IF(VLOOKUP($A120,'Annex 2 Designated EHV charges'!$D:$P,12,FALSE)=0,"",VLOOKUP($A120,'Annex 2 Designated EHV charges'!$D:$P,12,FALSE)),"")</f>
        <v/>
      </c>
      <c r="H120" s="53" t="str">
        <f>IFERROR(IF(VLOOKUP($A120,'Annex 2 Designated EHV charges'!$D:$P,13,FALSE)=0,"",VLOOKUP($A120,'Annex 2 Designated EHV charges'!$D:$P,13,FALSE)),"")</f>
        <v/>
      </c>
    </row>
    <row r="121" spans="1:8" x14ac:dyDescent="0.2">
      <c r="A121" s="53" t="str">
        <f t="array" ref="A121">IFERROR(INDEX('Annex 2 Designated EHV charges'!$D$11:$D$58, MATCH(0, IF(ISBLANK('Annex 2 Designated EHV charges'!$D$11:$D$58),1, COUNTIF(A$4:$A120, 'Annex 2 Designated EHV charges'!$D$11:$D$58)), 0)),"")</f>
        <v/>
      </c>
      <c r="B121" s="53" t="str">
        <f>IF($A121="","",VLOOKUP($A121,'Annex 2 Designated EHV charges'!$D:$O,2,0))</f>
        <v/>
      </c>
      <c r="C121" s="61" t="str">
        <f>IF($A121="","",VLOOKUP($A121,'Annex 2 Designated EHV charges'!$D:$O,3,0))</f>
        <v/>
      </c>
      <c r="D121" s="61" t="str">
        <f>IF($A121="","",VLOOKUP($A121,'Annex 2 Designated EHV charges'!$D:$O,4,0))</f>
        <v/>
      </c>
      <c r="E121" s="62" t="str">
        <f>IFERROR(IF(VLOOKUP($A121,'Annex 2 Designated EHV charges'!$D:$P,10,FALSE)=0,"",VLOOKUP($A121,'Annex 2 Designated EHV charges'!$D:$P,10,FALSE)),"")</f>
        <v/>
      </c>
      <c r="F121" s="63" t="str">
        <f>IFERROR(IF(VLOOKUP($A121,'Annex 2 Designated EHV charges'!$D:$P,11,FALSE)=0,"",VLOOKUP($A121,'Annex 2 Designated EHV charges'!$D:$P,11,FALSE)),"")</f>
        <v/>
      </c>
      <c r="G121" s="63" t="str">
        <f>IFERROR(IF(VLOOKUP($A121,'Annex 2 Designated EHV charges'!$D:$P,12,FALSE)=0,"",VLOOKUP($A121,'Annex 2 Designated EHV charges'!$D:$P,12,FALSE)),"")</f>
        <v/>
      </c>
      <c r="H121" s="53" t="str">
        <f>IFERROR(IF(VLOOKUP($A121,'Annex 2 Designated EHV charges'!$D:$P,13,FALSE)=0,"",VLOOKUP($A121,'Annex 2 Designated EHV charges'!$D:$P,13,FALSE)),"")</f>
        <v/>
      </c>
    </row>
    <row r="122" spans="1:8" x14ac:dyDescent="0.2">
      <c r="A122" s="53" t="str">
        <f t="array" ref="A122">IFERROR(INDEX('Annex 2 Designated EHV charges'!$D$11:$D$58, MATCH(0, IF(ISBLANK('Annex 2 Designated EHV charges'!$D$11:$D$58),1, COUNTIF(A$4:$A121, 'Annex 2 Designated EHV charges'!$D$11:$D$58)), 0)),"")</f>
        <v/>
      </c>
      <c r="B122" s="53" t="str">
        <f>IF($A122="","",VLOOKUP($A122,'Annex 2 Designated EHV charges'!$D:$O,2,0))</f>
        <v/>
      </c>
      <c r="C122" s="61" t="str">
        <f>IF($A122="","",VLOOKUP($A122,'Annex 2 Designated EHV charges'!$D:$O,3,0))</f>
        <v/>
      </c>
      <c r="D122" s="61" t="str">
        <f>IF($A122="","",VLOOKUP($A122,'Annex 2 Designated EHV charges'!$D:$O,4,0))</f>
        <v/>
      </c>
      <c r="E122" s="62" t="str">
        <f>IFERROR(IF(VLOOKUP($A122,'Annex 2 Designated EHV charges'!$D:$P,10,FALSE)=0,"",VLOOKUP($A122,'Annex 2 Designated EHV charges'!$D:$P,10,FALSE)),"")</f>
        <v/>
      </c>
      <c r="F122" s="63" t="str">
        <f>IFERROR(IF(VLOOKUP($A122,'Annex 2 Designated EHV charges'!$D:$P,11,FALSE)=0,"",VLOOKUP($A122,'Annex 2 Designated EHV charges'!$D:$P,11,FALSE)),"")</f>
        <v/>
      </c>
      <c r="G122" s="63" t="str">
        <f>IFERROR(IF(VLOOKUP($A122,'Annex 2 Designated EHV charges'!$D:$P,12,FALSE)=0,"",VLOOKUP($A122,'Annex 2 Designated EHV charges'!$D:$P,12,FALSE)),"")</f>
        <v/>
      </c>
      <c r="H122" s="53" t="str">
        <f>IFERROR(IF(VLOOKUP($A122,'Annex 2 Designated EHV charges'!$D:$P,13,FALSE)=0,"",VLOOKUP($A122,'Annex 2 Designated EHV charges'!$D:$P,13,FALSE)),"")</f>
        <v/>
      </c>
    </row>
    <row r="123" spans="1:8" x14ac:dyDescent="0.2">
      <c r="A123" s="53" t="str">
        <f t="array" ref="A123">IFERROR(INDEX('Annex 2 Designated EHV charges'!$D$11:$D$58, MATCH(0, IF(ISBLANK('Annex 2 Designated EHV charges'!$D$11:$D$58),1, COUNTIF(A$4:$A122, 'Annex 2 Designated EHV charges'!$D$11:$D$58)), 0)),"")</f>
        <v/>
      </c>
      <c r="B123" s="53" t="str">
        <f>IF($A123="","",VLOOKUP($A123,'Annex 2 Designated EHV charges'!$D:$O,2,0))</f>
        <v/>
      </c>
      <c r="C123" s="61" t="str">
        <f>IF($A123="","",VLOOKUP($A123,'Annex 2 Designated EHV charges'!$D:$O,3,0))</f>
        <v/>
      </c>
      <c r="D123" s="61" t="str">
        <f>IF($A123="","",VLOOKUP($A123,'Annex 2 Designated EHV charges'!$D:$O,4,0))</f>
        <v/>
      </c>
      <c r="E123" s="62" t="str">
        <f>IFERROR(IF(VLOOKUP($A123,'Annex 2 Designated EHV charges'!$D:$P,10,FALSE)=0,"",VLOOKUP($A123,'Annex 2 Designated EHV charges'!$D:$P,10,FALSE)),"")</f>
        <v/>
      </c>
      <c r="F123" s="63" t="str">
        <f>IFERROR(IF(VLOOKUP($A123,'Annex 2 Designated EHV charges'!$D:$P,11,FALSE)=0,"",VLOOKUP($A123,'Annex 2 Designated EHV charges'!$D:$P,11,FALSE)),"")</f>
        <v/>
      </c>
      <c r="G123" s="63" t="str">
        <f>IFERROR(IF(VLOOKUP($A123,'Annex 2 Designated EHV charges'!$D:$P,12,FALSE)=0,"",VLOOKUP($A123,'Annex 2 Designated EHV charges'!$D:$P,12,FALSE)),"")</f>
        <v/>
      </c>
      <c r="H123" s="53" t="str">
        <f>IFERROR(IF(VLOOKUP($A123,'Annex 2 Designated EHV charges'!$D:$P,13,FALSE)=0,"",VLOOKUP($A123,'Annex 2 Designated EHV charges'!$D:$P,13,FALSE)),"")</f>
        <v/>
      </c>
    </row>
    <row r="124" spans="1:8" x14ac:dyDescent="0.2">
      <c r="A124" s="53" t="str">
        <f t="array" ref="A124">IFERROR(INDEX('Annex 2 Designated EHV charges'!$D$11:$D$58, MATCH(0, IF(ISBLANK('Annex 2 Designated EHV charges'!$D$11:$D$58),1, COUNTIF(A$4:$A123, 'Annex 2 Designated EHV charges'!$D$11:$D$58)), 0)),"")</f>
        <v/>
      </c>
      <c r="B124" s="53" t="str">
        <f>IF($A124="","",VLOOKUP($A124,'Annex 2 Designated EHV charges'!$D:$O,2,0))</f>
        <v/>
      </c>
      <c r="C124" s="61" t="str">
        <f>IF($A124="","",VLOOKUP($A124,'Annex 2 Designated EHV charges'!$D:$O,3,0))</f>
        <v/>
      </c>
      <c r="D124" s="61" t="str">
        <f>IF($A124="","",VLOOKUP($A124,'Annex 2 Designated EHV charges'!$D:$O,4,0))</f>
        <v/>
      </c>
      <c r="E124" s="62" t="str">
        <f>IFERROR(IF(VLOOKUP($A124,'Annex 2 Designated EHV charges'!$D:$P,10,FALSE)=0,"",VLOOKUP($A124,'Annex 2 Designated EHV charges'!$D:$P,10,FALSE)),"")</f>
        <v/>
      </c>
      <c r="F124" s="63" t="str">
        <f>IFERROR(IF(VLOOKUP($A124,'Annex 2 Designated EHV charges'!$D:$P,11,FALSE)=0,"",VLOOKUP($A124,'Annex 2 Designated EHV charges'!$D:$P,11,FALSE)),"")</f>
        <v/>
      </c>
      <c r="G124" s="63" t="str">
        <f>IFERROR(IF(VLOOKUP($A124,'Annex 2 Designated EHV charges'!$D:$P,12,FALSE)=0,"",VLOOKUP($A124,'Annex 2 Designated EHV charges'!$D:$P,12,FALSE)),"")</f>
        <v/>
      </c>
      <c r="H124" s="53" t="str">
        <f>IFERROR(IF(VLOOKUP($A124,'Annex 2 Designated EHV charges'!$D:$P,13,FALSE)=0,"",VLOOKUP($A124,'Annex 2 Designated EHV charges'!$D:$P,13,FALSE)),"")</f>
        <v/>
      </c>
    </row>
    <row r="125" spans="1:8" x14ac:dyDescent="0.2">
      <c r="A125" s="53" t="str">
        <f t="array" ref="A125">IFERROR(INDEX('Annex 2 Designated EHV charges'!$D$11:$D$58, MATCH(0, IF(ISBLANK('Annex 2 Designated EHV charges'!$D$11:$D$58),1, COUNTIF(A$4:$A124, 'Annex 2 Designated EHV charges'!$D$11:$D$58)), 0)),"")</f>
        <v/>
      </c>
      <c r="B125" s="53" t="str">
        <f>IF($A125="","",VLOOKUP($A125,'Annex 2 Designated EHV charges'!$D:$O,2,0))</f>
        <v/>
      </c>
      <c r="C125" s="61" t="str">
        <f>IF($A125="","",VLOOKUP($A125,'Annex 2 Designated EHV charges'!$D:$O,3,0))</f>
        <v/>
      </c>
      <c r="D125" s="61" t="str">
        <f>IF($A125="","",VLOOKUP($A125,'Annex 2 Designated EHV charges'!$D:$O,4,0))</f>
        <v/>
      </c>
      <c r="E125" s="62" t="str">
        <f>IFERROR(IF(VLOOKUP($A125,'Annex 2 Designated EHV charges'!$D:$P,10,FALSE)=0,"",VLOOKUP($A125,'Annex 2 Designated EHV charges'!$D:$P,10,FALSE)),"")</f>
        <v/>
      </c>
      <c r="F125" s="63" t="str">
        <f>IFERROR(IF(VLOOKUP($A125,'Annex 2 Designated EHV charges'!$D:$P,11,FALSE)=0,"",VLOOKUP($A125,'Annex 2 Designated EHV charges'!$D:$P,11,FALSE)),"")</f>
        <v/>
      </c>
      <c r="G125" s="63" t="str">
        <f>IFERROR(IF(VLOOKUP($A125,'Annex 2 Designated EHV charges'!$D:$P,12,FALSE)=0,"",VLOOKUP($A125,'Annex 2 Designated EHV charges'!$D:$P,12,FALSE)),"")</f>
        <v/>
      </c>
      <c r="H125" s="53" t="str">
        <f>IFERROR(IF(VLOOKUP($A125,'Annex 2 Designated EHV charges'!$D:$P,13,FALSE)=0,"",VLOOKUP($A125,'Annex 2 Designated EHV charges'!$D:$P,13,FALSE)),"")</f>
        <v/>
      </c>
    </row>
    <row r="126" spans="1:8" x14ac:dyDescent="0.2">
      <c r="A126" s="53" t="str">
        <f t="array" ref="A126">IFERROR(INDEX('Annex 2 Designated EHV charges'!$D$11:$D$58, MATCH(0, IF(ISBLANK('Annex 2 Designated EHV charges'!$D$11:$D$58),1, COUNTIF(A$4:$A125, 'Annex 2 Designated EHV charges'!$D$11:$D$58)), 0)),"")</f>
        <v/>
      </c>
      <c r="B126" s="53" t="str">
        <f>IF($A126="","",VLOOKUP($A126,'Annex 2 Designated EHV charges'!$D:$O,2,0))</f>
        <v/>
      </c>
      <c r="C126" s="61" t="str">
        <f>IF($A126="","",VLOOKUP($A126,'Annex 2 Designated EHV charges'!$D:$O,3,0))</f>
        <v/>
      </c>
      <c r="D126" s="61" t="str">
        <f>IF($A126="","",VLOOKUP($A126,'Annex 2 Designated EHV charges'!$D:$O,4,0))</f>
        <v/>
      </c>
      <c r="E126" s="62" t="str">
        <f>IFERROR(IF(VLOOKUP($A126,'Annex 2 Designated EHV charges'!$D:$P,10,FALSE)=0,"",VLOOKUP($A126,'Annex 2 Designated EHV charges'!$D:$P,10,FALSE)),"")</f>
        <v/>
      </c>
      <c r="F126" s="63" t="str">
        <f>IFERROR(IF(VLOOKUP($A126,'Annex 2 Designated EHV charges'!$D:$P,11,FALSE)=0,"",VLOOKUP($A126,'Annex 2 Designated EHV charges'!$D:$P,11,FALSE)),"")</f>
        <v/>
      </c>
      <c r="G126" s="63" t="str">
        <f>IFERROR(IF(VLOOKUP($A126,'Annex 2 Designated EHV charges'!$D:$P,12,FALSE)=0,"",VLOOKUP($A126,'Annex 2 Designated EHV charges'!$D:$P,12,FALSE)),"")</f>
        <v/>
      </c>
      <c r="H126" s="53" t="str">
        <f>IFERROR(IF(VLOOKUP($A126,'Annex 2 Designated EHV charges'!$D:$P,13,FALSE)=0,"",VLOOKUP($A126,'Annex 2 Designated EHV charges'!$D:$P,13,FALSE)),"")</f>
        <v/>
      </c>
    </row>
    <row r="127" spans="1:8" x14ac:dyDescent="0.2">
      <c r="A127" s="53" t="str">
        <f t="array" ref="A127">IFERROR(INDEX('Annex 2 Designated EHV charges'!$D$11:$D$58, MATCH(0, IF(ISBLANK('Annex 2 Designated EHV charges'!$D$11:$D$58),1, COUNTIF(A$4:$A126, 'Annex 2 Designated EHV charges'!$D$11:$D$58)), 0)),"")</f>
        <v/>
      </c>
      <c r="B127" s="53" t="str">
        <f>IF($A127="","",VLOOKUP($A127,'Annex 2 Designated EHV charges'!$D:$O,2,0))</f>
        <v/>
      </c>
      <c r="C127" s="61" t="str">
        <f>IF($A127="","",VLOOKUP($A127,'Annex 2 Designated EHV charges'!$D:$O,3,0))</f>
        <v/>
      </c>
      <c r="D127" s="61" t="str">
        <f>IF($A127="","",VLOOKUP($A127,'Annex 2 Designated EHV charges'!$D:$O,4,0))</f>
        <v/>
      </c>
      <c r="E127" s="62" t="str">
        <f>IFERROR(IF(VLOOKUP($A127,'Annex 2 Designated EHV charges'!$D:$P,10,FALSE)=0,"",VLOOKUP($A127,'Annex 2 Designated EHV charges'!$D:$P,10,FALSE)),"")</f>
        <v/>
      </c>
      <c r="F127" s="63" t="str">
        <f>IFERROR(IF(VLOOKUP($A127,'Annex 2 Designated EHV charges'!$D:$P,11,FALSE)=0,"",VLOOKUP($A127,'Annex 2 Designated EHV charges'!$D:$P,11,FALSE)),"")</f>
        <v/>
      </c>
      <c r="G127" s="63" t="str">
        <f>IFERROR(IF(VLOOKUP($A127,'Annex 2 Designated EHV charges'!$D:$P,12,FALSE)=0,"",VLOOKUP($A127,'Annex 2 Designated EHV charges'!$D:$P,12,FALSE)),"")</f>
        <v/>
      </c>
      <c r="H127" s="53" t="str">
        <f>IFERROR(IF(VLOOKUP($A127,'Annex 2 Designated EHV charges'!$D:$P,13,FALSE)=0,"",VLOOKUP($A127,'Annex 2 Designated EHV charges'!$D:$P,13,FALSE)),"")</f>
        <v/>
      </c>
    </row>
    <row r="128" spans="1:8" x14ac:dyDescent="0.2">
      <c r="A128" s="53" t="str">
        <f t="array" ref="A128">IFERROR(INDEX('Annex 2 Designated EHV charges'!$D$11:$D$58, MATCH(0, IF(ISBLANK('Annex 2 Designated EHV charges'!$D$11:$D$58),1, COUNTIF(A$4:$A127, 'Annex 2 Designated EHV charges'!$D$11:$D$58)), 0)),"")</f>
        <v/>
      </c>
      <c r="B128" s="53" t="str">
        <f>IF($A128="","",VLOOKUP($A128,'Annex 2 Designated EHV charges'!$D:$O,2,0))</f>
        <v/>
      </c>
      <c r="C128" s="61" t="str">
        <f>IF($A128="","",VLOOKUP($A128,'Annex 2 Designated EHV charges'!$D:$O,3,0))</f>
        <v/>
      </c>
      <c r="D128" s="61" t="str">
        <f>IF($A128="","",VLOOKUP($A128,'Annex 2 Designated EHV charges'!$D:$O,4,0))</f>
        <v/>
      </c>
      <c r="E128" s="62" t="str">
        <f>IFERROR(IF(VLOOKUP($A128,'Annex 2 Designated EHV charges'!$D:$P,10,FALSE)=0,"",VLOOKUP($A128,'Annex 2 Designated EHV charges'!$D:$P,10,FALSE)),"")</f>
        <v/>
      </c>
      <c r="F128" s="63" t="str">
        <f>IFERROR(IF(VLOOKUP($A128,'Annex 2 Designated EHV charges'!$D:$P,11,FALSE)=0,"",VLOOKUP($A128,'Annex 2 Designated EHV charges'!$D:$P,11,FALSE)),"")</f>
        <v/>
      </c>
      <c r="G128" s="63" t="str">
        <f>IFERROR(IF(VLOOKUP($A128,'Annex 2 Designated EHV charges'!$D:$P,12,FALSE)=0,"",VLOOKUP($A128,'Annex 2 Designated EHV charges'!$D:$P,12,FALSE)),"")</f>
        <v/>
      </c>
      <c r="H128" s="53" t="str">
        <f>IFERROR(IF(VLOOKUP($A128,'Annex 2 Designated EHV charges'!$D:$P,13,FALSE)=0,"",VLOOKUP($A128,'Annex 2 Designated EHV charges'!$D:$P,13,FALSE)),"")</f>
        <v/>
      </c>
    </row>
    <row r="129" spans="1:8" x14ac:dyDescent="0.2">
      <c r="A129" s="53" t="str">
        <f t="array" ref="A129">IFERROR(INDEX('Annex 2 Designated EHV charges'!$D$11:$D$58, MATCH(0, IF(ISBLANK('Annex 2 Designated EHV charges'!$D$11:$D$58),1, COUNTIF(A$4:$A128, 'Annex 2 Designated EHV charges'!$D$11:$D$58)), 0)),"")</f>
        <v/>
      </c>
      <c r="B129" s="53" t="str">
        <f>IF($A129="","",VLOOKUP($A129,'Annex 2 Designated EHV charges'!$D:$O,2,0))</f>
        <v/>
      </c>
      <c r="C129" s="61" t="str">
        <f>IF($A129="","",VLOOKUP($A129,'Annex 2 Designated EHV charges'!$D:$O,3,0))</f>
        <v/>
      </c>
      <c r="D129" s="61" t="str">
        <f>IF($A129="","",VLOOKUP($A129,'Annex 2 Designated EHV charges'!$D:$O,4,0))</f>
        <v/>
      </c>
      <c r="E129" s="62" t="str">
        <f>IFERROR(IF(VLOOKUP($A129,'Annex 2 Designated EHV charges'!$D:$P,10,FALSE)=0,"",VLOOKUP($A129,'Annex 2 Designated EHV charges'!$D:$P,10,FALSE)),"")</f>
        <v/>
      </c>
      <c r="F129" s="63" t="str">
        <f>IFERROR(IF(VLOOKUP($A129,'Annex 2 Designated EHV charges'!$D:$P,11,FALSE)=0,"",VLOOKUP($A129,'Annex 2 Designated EHV charges'!$D:$P,11,FALSE)),"")</f>
        <v/>
      </c>
      <c r="G129" s="63" t="str">
        <f>IFERROR(IF(VLOOKUP($A129,'Annex 2 Designated EHV charges'!$D:$P,12,FALSE)=0,"",VLOOKUP($A129,'Annex 2 Designated EHV charges'!$D:$P,12,FALSE)),"")</f>
        <v/>
      </c>
      <c r="H129" s="53" t="str">
        <f>IFERROR(IF(VLOOKUP($A129,'Annex 2 Designated EHV charges'!$D:$P,13,FALSE)=0,"",VLOOKUP($A129,'Annex 2 Designated EHV charges'!$D:$P,13,FALSE)),"")</f>
        <v/>
      </c>
    </row>
    <row r="130" spans="1:8" x14ac:dyDescent="0.2">
      <c r="A130" s="53" t="str">
        <f t="array" ref="A130">IFERROR(INDEX('Annex 2 Designated EHV charges'!$D$11:$D$58, MATCH(0, IF(ISBLANK('Annex 2 Designated EHV charges'!$D$11:$D$58),1, COUNTIF(A$4:$A129, 'Annex 2 Designated EHV charges'!$D$11:$D$58)), 0)),"")</f>
        <v/>
      </c>
      <c r="B130" s="53" t="str">
        <f>IF($A130="","",VLOOKUP($A130,'Annex 2 Designated EHV charges'!$D:$O,2,0))</f>
        <v/>
      </c>
      <c r="C130" s="61" t="str">
        <f>IF($A130="","",VLOOKUP($A130,'Annex 2 Designated EHV charges'!$D:$O,3,0))</f>
        <v/>
      </c>
      <c r="D130" s="61" t="str">
        <f>IF($A130="","",VLOOKUP($A130,'Annex 2 Designated EHV charges'!$D:$O,4,0))</f>
        <v/>
      </c>
      <c r="E130" s="62" t="str">
        <f>IFERROR(IF(VLOOKUP($A130,'Annex 2 Designated EHV charges'!$D:$P,10,FALSE)=0,"",VLOOKUP($A130,'Annex 2 Designated EHV charges'!$D:$P,10,FALSE)),"")</f>
        <v/>
      </c>
      <c r="F130" s="63" t="str">
        <f>IFERROR(IF(VLOOKUP($A130,'Annex 2 Designated EHV charges'!$D:$P,11,FALSE)=0,"",VLOOKUP($A130,'Annex 2 Designated EHV charges'!$D:$P,11,FALSE)),"")</f>
        <v/>
      </c>
      <c r="G130" s="63" t="str">
        <f>IFERROR(IF(VLOOKUP($A130,'Annex 2 Designated EHV charges'!$D:$P,12,FALSE)=0,"",VLOOKUP($A130,'Annex 2 Designated EHV charges'!$D:$P,12,FALSE)),"")</f>
        <v/>
      </c>
      <c r="H130" s="53" t="str">
        <f>IFERROR(IF(VLOOKUP($A130,'Annex 2 Designated EHV charges'!$D:$P,13,FALSE)=0,"",VLOOKUP($A130,'Annex 2 Designated EHV charges'!$D:$P,13,FALSE)),"")</f>
        <v/>
      </c>
    </row>
    <row r="131" spans="1:8" x14ac:dyDescent="0.2">
      <c r="A131" s="53" t="str">
        <f t="array" ref="A131">IFERROR(INDEX('Annex 2 Designated EHV charges'!$D$11:$D$58, MATCH(0, IF(ISBLANK('Annex 2 Designated EHV charges'!$D$11:$D$58),1, COUNTIF(A$4:$A130, 'Annex 2 Designated EHV charges'!$D$11:$D$58)), 0)),"")</f>
        <v/>
      </c>
      <c r="B131" s="53" t="str">
        <f>IF($A131="","",VLOOKUP($A131,'Annex 2 Designated EHV charges'!$D:$O,2,0))</f>
        <v/>
      </c>
      <c r="C131" s="61" t="str">
        <f>IF($A131="","",VLOOKUP($A131,'Annex 2 Designated EHV charges'!$D:$O,3,0))</f>
        <v/>
      </c>
      <c r="D131" s="61" t="str">
        <f>IF($A131="","",VLOOKUP($A131,'Annex 2 Designated EHV charges'!$D:$O,4,0))</f>
        <v/>
      </c>
      <c r="E131" s="62" t="str">
        <f>IFERROR(IF(VLOOKUP($A131,'Annex 2 Designated EHV charges'!$D:$P,10,FALSE)=0,"",VLOOKUP($A131,'Annex 2 Designated EHV charges'!$D:$P,10,FALSE)),"")</f>
        <v/>
      </c>
      <c r="F131" s="63" t="str">
        <f>IFERROR(IF(VLOOKUP($A131,'Annex 2 Designated EHV charges'!$D:$P,11,FALSE)=0,"",VLOOKUP($A131,'Annex 2 Designated EHV charges'!$D:$P,11,FALSE)),"")</f>
        <v/>
      </c>
      <c r="G131" s="63" t="str">
        <f>IFERROR(IF(VLOOKUP($A131,'Annex 2 Designated EHV charges'!$D:$P,12,FALSE)=0,"",VLOOKUP($A131,'Annex 2 Designated EHV charges'!$D:$P,12,FALSE)),"")</f>
        <v/>
      </c>
      <c r="H131" s="53" t="str">
        <f>IFERROR(IF(VLOOKUP($A131,'Annex 2 Designated EHV charges'!$D:$P,13,FALSE)=0,"",VLOOKUP($A131,'Annex 2 Designated EHV charges'!$D:$P,13,FALSE)),"")</f>
        <v/>
      </c>
    </row>
    <row r="132" spans="1:8" x14ac:dyDescent="0.2">
      <c r="A132" s="53" t="str">
        <f t="array" ref="A132">IFERROR(INDEX('Annex 2 Designated EHV charges'!$D$11:$D$58, MATCH(0, IF(ISBLANK('Annex 2 Designated EHV charges'!$D$11:$D$58),1, COUNTIF(A$4:$A131, 'Annex 2 Designated EHV charges'!$D$11:$D$58)), 0)),"")</f>
        <v/>
      </c>
      <c r="B132" s="53" t="str">
        <f>IF($A132="","",VLOOKUP($A132,'Annex 2 Designated EHV charges'!$D:$O,2,0))</f>
        <v/>
      </c>
      <c r="C132" s="61" t="str">
        <f>IF($A132="","",VLOOKUP($A132,'Annex 2 Designated EHV charges'!$D:$O,3,0))</f>
        <v/>
      </c>
      <c r="D132" s="61" t="str">
        <f>IF($A132="","",VLOOKUP($A132,'Annex 2 Designated EHV charges'!$D:$O,4,0))</f>
        <v/>
      </c>
      <c r="E132" s="62" t="str">
        <f>IFERROR(IF(VLOOKUP($A132,'Annex 2 Designated EHV charges'!$D:$P,10,FALSE)=0,"",VLOOKUP($A132,'Annex 2 Designated EHV charges'!$D:$P,10,FALSE)),"")</f>
        <v/>
      </c>
      <c r="F132" s="63" t="str">
        <f>IFERROR(IF(VLOOKUP($A132,'Annex 2 Designated EHV charges'!$D:$P,11,FALSE)=0,"",VLOOKUP($A132,'Annex 2 Designated EHV charges'!$D:$P,11,FALSE)),"")</f>
        <v/>
      </c>
      <c r="G132" s="63" t="str">
        <f>IFERROR(IF(VLOOKUP($A132,'Annex 2 Designated EHV charges'!$D:$P,12,FALSE)=0,"",VLOOKUP($A132,'Annex 2 Designated EHV charges'!$D:$P,12,FALSE)),"")</f>
        <v/>
      </c>
      <c r="H132" s="53" t="str">
        <f>IFERROR(IF(VLOOKUP($A132,'Annex 2 Designated EHV charges'!$D:$P,13,FALSE)=0,"",VLOOKUP($A132,'Annex 2 Designated EHV charges'!$D:$P,13,FALSE)),"")</f>
        <v/>
      </c>
    </row>
    <row r="133" spans="1:8" x14ac:dyDescent="0.2">
      <c r="A133" s="53" t="str">
        <f t="array" ref="A133">IFERROR(INDEX('Annex 2 Designated EHV charges'!$D$11:$D$58, MATCH(0, IF(ISBLANK('Annex 2 Designated EHV charges'!$D$11:$D$58),1, COUNTIF(A$4:$A132, 'Annex 2 Designated EHV charges'!$D$11:$D$58)), 0)),"")</f>
        <v/>
      </c>
      <c r="B133" s="53" t="str">
        <f>IF($A133="","",VLOOKUP($A133,'Annex 2 Designated EHV charges'!$D:$O,2,0))</f>
        <v/>
      </c>
      <c r="C133" s="61" t="str">
        <f>IF($A133="","",VLOOKUP($A133,'Annex 2 Designated EHV charges'!$D:$O,3,0))</f>
        <v/>
      </c>
      <c r="D133" s="61" t="str">
        <f>IF($A133="","",VLOOKUP($A133,'Annex 2 Designated EHV charges'!$D:$O,4,0))</f>
        <v/>
      </c>
      <c r="E133" s="62" t="str">
        <f>IFERROR(IF(VLOOKUP($A133,'Annex 2 Designated EHV charges'!$D:$P,10,FALSE)=0,"",VLOOKUP($A133,'Annex 2 Designated EHV charges'!$D:$P,10,FALSE)),"")</f>
        <v/>
      </c>
      <c r="F133" s="63" t="str">
        <f>IFERROR(IF(VLOOKUP($A133,'Annex 2 Designated EHV charges'!$D:$P,11,FALSE)=0,"",VLOOKUP($A133,'Annex 2 Designated EHV charges'!$D:$P,11,FALSE)),"")</f>
        <v/>
      </c>
      <c r="G133" s="63" t="str">
        <f>IFERROR(IF(VLOOKUP($A133,'Annex 2 Designated EHV charges'!$D:$P,12,FALSE)=0,"",VLOOKUP($A133,'Annex 2 Designated EHV charges'!$D:$P,12,FALSE)),"")</f>
        <v/>
      </c>
      <c r="H133" s="53" t="str">
        <f>IFERROR(IF(VLOOKUP($A133,'Annex 2 Designated EHV charges'!$D:$P,13,FALSE)=0,"",VLOOKUP($A133,'Annex 2 Designated EHV charges'!$D:$P,13,FALSE)),"")</f>
        <v/>
      </c>
    </row>
    <row r="134" spans="1:8" x14ac:dyDescent="0.2">
      <c r="A134" s="53" t="str">
        <f t="array" ref="A134">IFERROR(INDEX('Annex 2 Designated EHV charges'!$D$11:$D$58, MATCH(0, IF(ISBLANK('Annex 2 Designated EHV charges'!$D$11:$D$58),1, COUNTIF(A$4:$A133, 'Annex 2 Designated EHV charges'!$D$11:$D$58)), 0)),"")</f>
        <v/>
      </c>
      <c r="B134" s="53" t="str">
        <f>IF($A134="","",VLOOKUP($A134,'Annex 2 Designated EHV charges'!$D:$O,2,0))</f>
        <v/>
      </c>
      <c r="C134" s="61" t="str">
        <f>IF($A134="","",VLOOKUP($A134,'Annex 2 Designated EHV charges'!$D:$O,3,0))</f>
        <v/>
      </c>
      <c r="D134" s="61" t="str">
        <f>IF($A134="","",VLOOKUP($A134,'Annex 2 Designated EHV charges'!$D:$O,4,0))</f>
        <v/>
      </c>
      <c r="E134" s="62" t="str">
        <f>IFERROR(IF(VLOOKUP($A134,'Annex 2 Designated EHV charges'!$D:$P,10,FALSE)=0,"",VLOOKUP($A134,'Annex 2 Designated EHV charges'!$D:$P,10,FALSE)),"")</f>
        <v/>
      </c>
      <c r="F134" s="63" t="str">
        <f>IFERROR(IF(VLOOKUP($A134,'Annex 2 Designated EHV charges'!$D:$P,11,FALSE)=0,"",VLOOKUP($A134,'Annex 2 Designated EHV charges'!$D:$P,11,FALSE)),"")</f>
        <v/>
      </c>
      <c r="G134" s="63" t="str">
        <f>IFERROR(IF(VLOOKUP($A134,'Annex 2 Designated EHV charges'!$D:$P,12,FALSE)=0,"",VLOOKUP($A134,'Annex 2 Designated EHV charges'!$D:$P,12,FALSE)),"")</f>
        <v/>
      </c>
      <c r="H134" s="53" t="str">
        <f>IFERROR(IF(VLOOKUP($A134,'Annex 2 Designated EHV charges'!$D:$P,13,FALSE)=0,"",VLOOKUP($A134,'Annex 2 Designated EHV charges'!$D:$P,13,FALSE)),"")</f>
        <v/>
      </c>
    </row>
    <row r="135" spans="1:8" x14ac:dyDescent="0.2">
      <c r="A135" s="53" t="str">
        <f t="array" ref="A135">IFERROR(INDEX('Annex 2 Designated EHV charges'!$D$11:$D$58, MATCH(0, IF(ISBLANK('Annex 2 Designated EHV charges'!$D$11:$D$58),1, COUNTIF(A$4:$A134, 'Annex 2 Designated EHV charges'!$D$11:$D$58)), 0)),"")</f>
        <v/>
      </c>
      <c r="B135" s="53" t="str">
        <f>IF($A135="","",VLOOKUP($A135,'Annex 2 Designated EHV charges'!$D:$O,2,0))</f>
        <v/>
      </c>
      <c r="C135" s="61" t="str">
        <f>IF($A135="","",VLOOKUP($A135,'Annex 2 Designated EHV charges'!$D:$O,3,0))</f>
        <v/>
      </c>
      <c r="D135" s="61" t="str">
        <f>IF($A135="","",VLOOKUP($A135,'Annex 2 Designated EHV charges'!$D:$O,4,0))</f>
        <v/>
      </c>
      <c r="E135" s="62" t="str">
        <f>IFERROR(IF(VLOOKUP($A135,'Annex 2 Designated EHV charges'!$D:$P,10,FALSE)=0,"",VLOOKUP($A135,'Annex 2 Designated EHV charges'!$D:$P,10,FALSE)),"")</f>
        <v/>
      </c>
      <c r="F135" s="63" t="str">
        <f>IFERROR(IF(VLOOKUP($A135,'Annex 2 Designated EHV charges'!$D:$P,11,FALSE)=0,"",VLOOKUP($A135,'Annex 2 Designated EHV charges'!$D:$P,11,FALSE)),"")</f>
        <v/>
      </c>
      <c r="G135" s="63" t="str">
        <f>IFERROR(IF(VLOOKUP($A135,'Annex 2 Designated EHV charges'!$D:$P,12,FALSE)=0,"",VLOOKUP($A135,'Annex 2 Designated EHV charges'!$D:$P,12,FALSE)),"")</f>
        <v/>
      </c>
      <c r="H135" s="53" t="str">
        <f>IFERROR(IF(VLOOKUP($A135,'Annex 2 Designated EHV charges'!$D:$P,13,FALSE)=0,"",VLOOKUP($A135,'Annex 2 Designated EHV charges'!$D:$P,13,FALSE)),"")</f>
        <v/>
      </c>
    </row>
    <row r="136" spans="1:8" x14ac:dyDescent="0.2">
      <c r="A136" s="53" t="str">
        <f t="array" ref="A136">IFERROR(INDEX('Annex 2 Designated EHV charges'!$D$11:$D$58, MATCH(0, IF(ISBLANK('Annex 2 Designated EHV charges'!$D$11:$D$58),1, COUNTIF(A$4:$A135, 'Annex 2 Designated EHV charges'!$D$11:$D$58)), 0)),"")</f>
        <v/>
      </c>
      <c r="B136" s="53" t="str">
        <f>IF($A136="","",VLOOKUP($A136,'Annex 2 Designated EHV charges'!$D:$O,2,0))</f>
        <v/>
      </c>
      <c r="C136" s="61" t="str">
        <f>IF($A136="","",VLOOKUP($A136,'Annex 2 Designated EHV charges'!$D:$O,3,0))</f>
        <v/>
      </c>
      <c r="D136" s="61" t="str">
        <f>IF($A136="","",VLOOKUP($A136,'Annex 2 Designated EHV charges'!$D:$O,4,0))</f>
        <v/>
      </c>
      <c r="E136" s="62" t="str">
        <f>IFERROR(IF(VLOOKUP($A136,'Annex 2 Designated EHV charges'!$D:$P,10,FALSE)=0,"",VLOOKUP($A136,'Annex 2 Designated EHV charges'!$D:$P,10,FALSE)),"")</f>
        <v/>
      </c>
      <c r="F136" s="63" t="str">
        <f>IFERROR(IF(VLOOKUP($A136,'Annex 2 Designated EHV charges'!$D:$P,11,FALSE)=0,"",VLOOKUP($A136,'Annex 2 Designated EHV charges'!$D:$P,11,FALSE)),"")</f>
        <v/>
      </c>
      <c r="G136" s="63" t="str">
        <f>IFERROR(IF(VLOOKUP($A136,'Annex 2 Designated EHV charges'!$D:$P,12,FALSE)=0,"",VLOOKUP($A136,'Annex 2 Designated EHV charges'!$D:$P,12,FALSE)),"")</f>
        <v/>
      </c>
      <c r="H136" s="53" t="str">
        <f>IFERROR(IF(VLOOKUP($A136,'Annex 2 Designated EHV charges'!$D:$P,13,FALSE)=0,"",VLOOKUP($A136,'Annex 2 Designated EHV charges'!$D:$P,13,FALSE)),"")</f>
        <v/>
      </c>
    </row>
    <row r="137" spans="1:8" x14ac:dyDescent="0.2">
      <c r="A137" s="53" t="str">
        <f t="array" ref="A137">IFERROR(INDEX('Annex 2 Designated EHV charges'!$D$11:$D$58, MATCH(0, IF(ISBLANK('Annex 2 Designated EHV charges'!$D$11:$D$58),1, COUNTIF(A$4:$A136, 'Annex 2 Designated EHV charges'!$D$11:$D$58)), 0)),"")</f>
        <v/>
      </c>
      <c r="B137" s="53" t="str">
        <f>IF($A137="","",VLOOKUP($A137,'Annex 2 Designated EHV charges'!$D:$O,2,0))</f>
        <v/>
      </c>
      <c r="C137" s="61" t="str">
        <f>IF($A137="","",VLOOKUP($A137,'Annex 2 Designated EHV charges'!$D:$O,3,0))</f>
        <v/>
      </c>
      <c r="D137" s="61" t="str">
        <f>IF($A137="","",VLOOKUP($A137,'Annex 2 Designated EHV charges'!$D:$O,4,0))</f>
        <v/>
      </c>
      <c r="E137" s="62" t="str">
        <f>IFERROR(IF(VLOOKUP($A137,'Annex 2 Designated EHV charges'!$D:$P,10,FALSE)=0,"",VLOOKUP($A137,'Annex 2 Designated EHV charges'!$D:$P,10,FALSE)),"")</f>
        <v/>
      </c>
      <c r="F137" s="63" t="str">
        <f>IFERROR(IF(VLOOKUP($A137,'Annex 2 Designated EHV charges'!$D:$P,11,FALSE)=0,"",VLOOKUP($A137,'Annex 2 Designated EHV charges'!$D:$P,11,FALSE)),"")</f>
        <v/>
      </c>
      <c r="G137" s="63" t="str">
        <f>IFERROR(IF(VLOOKUP($A137,'Annex 2 Designated EHV charges'!$D:$P,12,FALSE)=0,"",VLOOKUP($A137,'Annex 2 Designated EHV charges'!$D:$P,12,FALSE)),"")</f>
        <v/>
      </c>
      <c r="H137" s="53" t="str">
        <f>IFERROR(IF(VLOOKUP($A137,'Annex 2 Designated EHV charges'!$D:$P,13,FALSE)=0,"",VLOOKUP($A137,'Annex 2 Designated EHV charges'!$D:$P,13,FALSE)),"")</f>
        <v/>
      </c>
    </row>
    <row r="138" spans="1:8" x14ac:dyDescent="0.2">
      <c r="A138" s="53" t="str">
        <f t="array" ref="A138">IFERROR(INDEX('Annex 2 Designated EHV charges'!$D$11:$D$58, MATCH(0, IF(ISBLANK('Annex 2 Designated EHV charges'!$D$11:$D$58),1, COUNTIF(A$4:$A137, 'Annex 2 Designated EHV charges'!$D$11:$D$58)), 0)),"")</f>
        <v/>
      </c>
      <c r="B138" s="53" t="str">
        <f>IF($A138="","",VLOOKUP($A138,'Annex 2 Designated EHV charges'!$D:$O,2,0))</f>
        <v/>
      </c>
      <c r="C138" s="61" t="str">
        <f>IF($A138="","",VLOOKUP($A138,'Annex 2 Designated EHV charges'!$D:$O,3,0))</f>
        <v/>
      </c>
      <c r="D138" s="61" t="str">
        <f>IF($A138="","",VLOOKUP($A138,'Annex 2 Designated EHV charges'!$D:$O,4,0))</f>
        <v/>
      </c>
      <c r="E138" s="62" t="str">
        <f>IFERROR(IF(VLOOKUP($A138,'Annex 2 Designated EHV charges'!$D:$P,10,FALSE)=0,"",VLOOKUP($A138,'Annex 2 Designated EHV charges'!$D:$P,10,FALSE)),"")</f>
        <v/>
      </c>
      <c r="F138" s="63" t="str">
        <f>IFERROR(IF(VLOOKUP($A138,'Annex 2 Designated EHV charges'!$D:$P,11,FALSE)=0,"",VLOOKUP($A138,'Annex 2 Designated EHV charges'!$D:$P,11,FALSE)),"")</f>
        <v/>
      </c>
      <c r="G138" s="63" t="str">
        <f>IFERROR(IF(VLOOKUP($A138,'Annex 2 Designated EHV charges'!$D:$P,12,FALSE)=0,"",VLOOKUP($A138,'Annex 2 Designated EHV charges'!$D:$P,12,FALSE)),"")</f>
        <v/>
      </c>
      <c r="H138" s="53" t="str">
        <f>IFERROR(IF(VLOOKUP($A138,'Annex 2 Designated EHV charges'!$D:$P,13,FALSE)=0,"",VLOOKUP($A138,'Annex 2 Designated EHV charges'!$D:$P,13,FALSE)),"")</f>
        <v/>
      </c>
    </row>
    <row r="139" spans="1:8" x14ac:dyDescent="0.2">
      <c r="A139" s="53" t="str">
        <f t="array" ref="A139">IFERROR(INDEX('Annex 2 Designated EHV charges'!$D$11:$D$58, MATCH(0, IF(ISBLANK('Annex 2 Designated EHV charges'!$D$11:$D$58),1, COUNTIF(A$4:$A138, 'Annex 2 Designated EHV charges'!$D$11:$D$58)), 0)),"")</f>
        <v/>
      </c>
      <c r="B139" s="53" t="str">
        <f>IF($A139="","",VLOOKUP($A139,'Annex 2 Designated EHV charges'!$D:$O,2,0))</f>
        <v/>
      </c>
      <c r="C139" s="61" t="str">
        <f>IF($A139="","",VLOOKUP($A139,'Annex 2 Designated EHV charges'!$D:$O,3,0))</f>
        <v/>
      </c>
      <c r="D139" s="61" t="str">
        <f>IF($A139="","",VLOOKUP($A139,'Annex 2 Designated EHV charges'!$D:$O,4,0))</f>
        <v/>
      </c>
      <c r="E139" s="62" t="str">
        <f>IFERROR(IF(VLOOKUP($A139,'Annex 2 Designated EHV charges'!$D:$P,10,FALSE)=0,"",VLOOKUP($A139,'Annex 2 Designated EHV charges'!$D:$P,10,FALSE)),"")</f>
        <v/>
      </c>
      <c r="F139" s="63" t="str">
        <f>IFERROR(IF(VLOOKUP($A139,'Annex 2 Designated EHV charges'!$D:$P,11,FALSE)=0,"",VLOOKUP($A139,'Annex 2 Designated EHV charges'!$D:$P,11,FALSE)),"")</f>
        <v/>
      </c>
      <c r="G139" s="63" t="str">
        <f>IFERROR(IF(VLOOKUP($A139,'Annex 2 Designated EHV charges'!$D:$P,12,FALSE)=0,"",VLOOKUP($A139,'Annex 2 Designated EHV charges'!$D:$P,12,FALSE)),"")</f>
        <v/>
      </c>
      <c r="H139" s="53" t="str">
        <f>IFERROR(IF(VLOOKUP($A139,'Annex 2 Designated EHV charges'!$D:$P,13,FALSE)=0,"",VLOOKUP($A139,'Annex 2 Designated EHV charges'!$D:$P,13,FALSE)),"")</f>
        <v/>
      </c>
    </row>
    <row r="140" spans="1:8" x14ac:dyDescent="0.2">
      <c r="A140" s="53" t="str">
        <f t="array" ref="A140">IFERROR(INDEX('Annex 2 Designated EHV charges'!$D$11:$D$58, MATCH(0, IF(ISBLANK('Annex 2 Designated EHV charges'!$D$11:$D$58),1, COUNTIF(A$4:$A139, 'Annex 2 Designated EHV charges'!$D$11:$D$58)), 0)),"")</f>
        <v/>
      </c>
      <c r="B140" s="53" t="str">
        <f>IF($A140="","",VLOOKUP($A140,'Annex 2 Designated EHV charges'!$D:$O,2,0))</f>
        <v/>
      </c>
      <c r="C140" s="61" t="str">
        <f>IF($A140="","",VLOOKUP($A140,'Annex 2 Designated EHV charges'!$D:$O,3,0))</f>
        <v/>
      </c>
      <c r="D140" s="61" t="str">
        <f>IF($A140="","",VLOOKUP($A140,'Annex 2 Designated EHV charges'!$D:$O,4,0))</f>
        <v/>
      </c>
      <c r="E140" s="62" t="str">
        <f>IFERROR(IF(VLOOKUP($A140,'Annex 2 Designated EHV charges'!$D:$P,10,FALSE)=0,"",VLOOKUP($A140,'Annex 2 Designated EHV charges'!$D:$P,10,FALSE)),"")</f>
        <v/>
      </c>
      <c r="F140" s="63" t="str">
        <f>IFERROR(IF(VLOOKUP($A140,'Annex 2 Designated EHV charges'!$D:$P,11,FALSE)=0,"",VLOOKUP($A140,'Annex 2 Designated EHV charges'!$D:$P,11,FALSE)),"")</f>
        <v/>
      </c>
      <c r="G140" s="63" t="str">
        <f>IFERROR(IF(VLOOKUP($A140,'Annex 2 Designated EHV charges'!$D:$P,12,FALSE)=0,"",VLOOKUP($A140,'Annex 2 Designated EHV charges'!$D:$P,12,FALSE)),"")</f>
        <v/>
      </c>
      <c r="H140" s="53" t="str">
        <f>IFERROR(IF(VLOOKUP($A140,'Annex 2 Designated EHV charges'!$D:$P,13,FALSE)=0,"",VLOOKUP($A140,'Annex 2 Designated EHV charges'!$D:$P,13,FALSE)),"")</f>
        <v/>
      </c>
    </row>
    <row r="141" spans="1:8" x14ac:dyDescent="0.2">
      <c r="A141" s="53" t="str">
        <f t="array" ref="A141">IFERROR(INDEX('Annex 2 Designated EHV charges'!$D$11:$D$58, MATCH(0, IF(ISBLANK('Annex 2 Designated EHV charges'!$D$11:$D$58),1, COUNTIF(A$4:$A140, 'Annex 2 Designated EHV charges'!$D$11:$D$58)), 0)),"")</f>
        <v/>
      </c>
      <c r="B141" s="53" t="str">
        <f>IF($A141="","",VLOOKUP($A141,'Annex 2 Designated EHV charges'!$D:$O,2,0))</f>
        <v/>
      </c>
      <c r="C141" s="61" t="str">
        <f>IF($A141="","",VLOOKUP($A141,'Annex 2 Designated EHV charges'!$D:$O,3,0))</f>
        <v/>
      </c>
      <c r="D141" s="61" t="str">
        <f>IF($A141="","",VLOOKUP($A141,'Annex 2 Designated EHV charges'!$D:$O,4,0))</f>
        <v/>
      </c>
      <c r="E141" s="62" t="str">
        <f>IFERROR(IF(VLOOKUP($A141,'Annex 2 Designated EHV charges'!$D:$P,10,FALSE)=0,"",VLOOKUP($A141,'Annex 2 Designated EHV charges'!$D:$P,10,FALSE)),"")</f>
        <v/>
      </c>
      <c r="F141" s="63" t="str">
        <f>IFERROR(IF(VLOOKUP($A141,'Annex 2 Designated EHV charges'!$D:$P,11,FALSE)=0,"",VLOOKUP($A141,'Annex 2 Designated EHV charges'!$D:$P,11,FALSE)),"")</f>
        <v/>
      </c>
      <c r="G141" s="63" t="str">
        <f>IFERROR(IF(VLOOKUP($A141,'Annex 2 Designated EHV charges'!$D:$P,12,FALSE)=0,"",VLOOKUP($A141,'Annex 2 Designated EHV charges'!$D:$P,12,FALSE)),"")</f>
        <v/>
      </c>
      <c r="H141" s="53" t="str">
        <f>IFERROR(IF(VLOOKUP($A141,'Annex 2 Designated EHV charges'!$D:$P,13,FALSE)=0,"",VLOOKUP($A141,'Annex 2 Designated EHV charges'!$D:$P,13,FALSE)),"")</f>
        <v/>
      </c>
    </row>
    <row r="142" spans="1:8" x14ac:dyDescent="0.2">
      <c r="A142" s="53" t="str">
        <f t="array" ref="A142">IFERROR(INDEX('Annex 2 Designated EHV charges'!$D$11:$D$58, MATCH(0, IF(ISBLANK('Annex 2 Designated EHV charges'!$D$11:$D$58),1, COUNTIF(A$4:$A141, 'Annex 2 Designated EHV charges'!$D$11:$D$58)), 0)),"")</f>
        <v/>
      </c>
      <c r="B142" s="53" t="str">
        <f>IF($A142="","",VLOOKUP($A142,'Annex 2 Designated EHV charges'!$D:$O,2,0))</f>
        <v/>
      </c>
      <c r="C142" s="61" t="str">
        <f>IF($A142="","",VLOOKUP($A142,'Annex 2 Designated EHV charges'!$D:$O,3,0))</f>
        <v/>
      </c>
      <c r="D142" s="61" t="str">
        <f>IF($A142="","",VLOOKUP($A142,'Annex 2 Designated EHV charges'!$D:$O,4,0))</f>
        <v/>
      </c>
      <c r="E142" s="62" t="str">
        <f>IFERROR(IF(VLOOKUP($A142,'Annex 2 Designated EHV charges'!$D:$P,10,FALSE)=0,"",VLOOKUP($A142,'Annex 2 Designated EHV charges'!$D:$P,10,FALSE)),"")</f>
        <v/>
      </c>
      <c r="F142" s="63" t="str">
        <f>IFERROR(IF(VLOOKUP($A142,'Annex 2 Designated EHV charges'!$D:$P,11,FALSE)=0,"",VLOOKUP($A142,'Annex 2 Designated EHV charges'!$D:$P,11,FALSE)),"")</f>
        <v/>
      </c>
      <c r="G142" s="63" t="str">
        <f>IFERROR(IF(VLOOKUP($A142,'Annex 2 Designated EHV charges'!$D:$P,12,FALSE)=0,"",VLOOKUP($A142,'Annex 2 Designated EHV charges'!$D:$P,12,FALSE)),"")</f>
        <v/>
      </c>
      <c r="H142" s="53" t="str">
        <f>IFERROR(IF(VLOOKUP($A142,'Annex 2 Designated EHV charges'!$D:$P,13,FALSE)=0,"",VLOOKUP($A142,'Annex 2 Designated EHV charges'!$D:$P,13,FALSE)),"")</f>
        <v/>
      </c>
    </row>
    <row r="143" spans="1:8" x14ac:dyDescent="0.2">
      <c r="A143" s="53" t="str">
        <f t="array" ref="A143">IFERROR(INDEX('Annex 2 Designated EHV charges'!$D$11:$D$58, MATCH(0, IF(ISBLANK('Annex 2 Designated EHV charges'!$D$11:$D$58),1, COUNTIF(A$4:$A142, 'Annex 2 Designated EHV charges'!$D$11:$D$58)), 0)),"")</f>
        <v/>
      </c>
      <c r="B143" s="53" t="str">
        <f>IF($A143="","",VLOOKUP($A143,'Annex 2 Designated EHV charges'!$D:$O,2,0))</f>
        <v/>
      </c>
      <c r="C143" s="61" t="str">
        <f>IF($A143="","",VLOOKUP($A143,'Annex 2 Designated EHV charges'!$D:$O,3,0))</f>
        <v/>
      </c>
      <c r="D143" s="61" t="str">
        <f>IF($A143="","",VLOOKUP($A143,'Annex 2 Designated EHV charges'!$D:$O,4,0))</f>
        <v/>
      </c>
      <c r="E143" s="62" t="str">
        <f>IFERROR(IF(VLOOKUP($A143,'Annex 2 Designated EHV charges'!$D:$P,10,FALSE)=0,"",VLOOKUP($A143,'Annex 2 Designated EHV charges'!$D:$P,10,FALSE)),"")</f>
        <v/>
      </c>
      <c r="F143" s="63" t="str">
        <f>IFERROR(IF(VLOOKUP($A143,'Annex 2 Designated EHV charges'!$D:$P,11,FALSE)=0,"",VLOOKUP($A143,'Annex 2 Designated EHV charges'!$D:$P,11,FALSE)),"")</f>
        <v/>
      </c>
      <c r="G143" s="63" t="str">
        <f>IFERROR(IF(VLOOKUP($A143,'Annex 2 Designated EHV charges'!$D:$P,12,FALSE)=0,"",VLOOKUP($A143,'Annex 2 Designated EHV charges'!$D:$P,12,FALSE)),"")</f>
        <v/>
      </c>
      <c r="H143" s="53" t="str">
        <f>IFERROR(IF(VLOOKUP($A143,'Annex 2 Designated EHV charges'!$D:$P,13,FALSE)=0,"",VLOOKUP($A143,'Annex 2 Designated EHV charges'!$D:$P,13,FALSE)),"")</f>
        <v/>
      </c>
    </row>
    <row r="144" spans="1:8" x14ac:dyDescent="0.2">
      <c r="A144" s="53" t="str">
        <f t="array" ref="A144">IFERROR(INDEX('Annex 2 Designated EHV charges'!$D$11:$D$58, MATCH(0, IF(ISBLANK('Annex 2 Designated EHV charges'!$D$11:$D$58),1, COUNTIF(A$4:$A143, 'Annex 2 Designated EHV charges'!$D$11:$D$58)), 0)),"")</f>
        <v/>
      </c>
      <c r="B144" s="53" t="str">
        <f>IF($A144="","",VLOOKUP($A144,'Annex 2 Designated EHV charges'!$D:$O,2,0))</f>
        <v/>
      </c>
      <c r="C144" s="61" t="str">
        <f>IF($A144="","",VLOOKUP($A144,'Annex 2 Designated EHV charges'!$D:$O,3,0))</f>
        <v/>
      </c>
      <c r="D144" s="61" t="str">
        <f>IF($A144="","",VLOOKUP($A144,'Annex 2 Designated EHV charges'!$D:$O,4,0))</f>
        <v/>
      </c>
      <c r="E144" s="62" t="str">
        <f>IFERROR(IF(VLOOKUP($A144,'Annex 2 Designated EHV charges'!$D:$P,10,FALSE)=0,"",VLOOKUP($A144,'Annex 2 Designated EHV charges'!$D:$P,10,FALSE)),"")</f>
        <v/>
      </c>
      <c r="F144" s="63" t="str">
        <f>IFERROR(IF(VLOOKUP($A144,'Annex 2 Designated EHV charges'!$D:$P,11,FALSE)=0,"",VLOOKUP($A144,'Annex 2 Designated EHV charges'!$D:$P,11,FALSE)),"")</f>
        <v/>
      </c>
      <c r="G144" s="63" t="str">
        <f>IFERROR(IF(VLOOKUP($A144,'Annex 2 Designated EHV charges'!$D:$P,12,FALSE)=0,"",VLOOKUP($A144,'Annex 2 Designated EHV charges'!$D:$P,12,FALSE)),"")</f>
        <v/>
      </c>
      <c r="H144" s="53" t="str">
        <f>IFERROR(IF(VLOOKUP($A144,'Annex 2 Designated EHV charges'!$D:$P,13,FALSE)=0,"",VLOOKUP($A144,'Annex 2 Designated EHV charges'!$D:$P,13,FALSE)),"")</f>
        <v/>
      </c>
    </row>
    <row r="145" spans="1:8" x14ac:dyDescent="0.2">
      <c r="A145" s="53" t="str">
        <f t="array" ref="A145">IFERROR(INDEX('Annex 2 Designated EHV charges'!$D$11:$D$58, MATCH(0, IF(ISBLANK('Annex 2 Designated EHV charges'!$D$11:$D$58),1, COUNTIF(A$4:$A144, 'Annex 2 Designated EHV charges'!$D$11:$D$58)), 0)),"")</f>
        <v/>
      </c>
      <c r="B145" s="53" t="str">
        <f>IF($A145="","",VLOOKUP($A145,'Annex 2 Designated EHV charges'!$D:$O,2,0))</f>
        <v/>
      </c>
      <c r="C145" s="61" t="str">
        <f>IF($A145="","",VLOOKUP($A145,'Annex 2 Designated EHV charges'!$D:$O,3,0))</f>
        <v/>
      </c>
      <c r="D145" s="61" t="str">
        <f>IF($A145="","",VLOOKUP($A145,'Annex 2 Designated EHV charges'!$D:$O,4,0))</f>
        <v/>
      </c>
      <c r="E145" s="62" t="str">
        <f>IFERROR(IF(VLOOKUP($A145,'Annex 2 Designated EHV charges'!$D:$P,10,FALSE)=0,"",VLOOKUP($A145,'Annex 2 Designated EHV charges'!$D:$P,10,FALSE)),"")</f>
        <v/>
      </c>
      <c r="F145" s="63" t="str">
        <f>IFERROR(IF(VLOOKUP($A145,'Annex 2 Designated EHV charges'!$D:$P,11,FALSE)=0,"",VLOOKUP($A145,'Annex 2 Designated EHV charges'!$D:$P,11,FALSE)),"")</f>
        <v/>
      </c>
      <c r="G145" s="63" t="str">
        <f>IFERROR(IF(VLOOKUP($A145,'Annex 2 Designated EHV charges'!$D:$P,12,FALSE)=0,"",VLOOKUP($A145,'Annex 2 Designated EHV charges'!$D:$P,12,FALSE)),"")</f>
        <v/>
      </c>
      <c r="H145" s="53" t="str">
        <f>IFERROR(IF(VLOOKUP($A145,'Annex 2 Designated EHV charges'!$D:$P,13,FALSE)=0,"",VLOOKUP($A145,'Annex 2 Designated EHV charges'!$D:$P,13,FALSE)),"")</f>
        <v/>
      </c>
    </row>
    <row r="146" spans="1:8" x14ac:dyDescent="0.2">
      <c r="A146" s="53" t="str">
        <f t="array" ref="A146">IFERROR(INDEX('Annex 2 Designated EHV charges'!$D$11:$D$58, MATCH(0, IF(ISBLANK('Annex 2 Designated EHV charges'!$D$11:$D$58),1, COUNTIF(A$4:$A145, 'Annex 2 Designated EHV charges'!$D$11:$D$58)), 0)),"")</f>
        <v/>
      </c>
      <c r="B146" s="53" t="str">
        <f>IF($A146="","",VLOOKUP($A146,'Annex 2 Designated EHV charges'!$D:$O,2,0))</f>
        <v/>
      </c>
      <c r="C146" s="61" t="str">
        <f>IF($A146="","",VLOOKUP($A146,'Annex 2 Designated EHV charges'!$D:$O,3,0))</f>
        <v/>
      </c>
      <c r="D146" s="61" t="str">
        <f>IF($A146="","",VLOOKUP($A146,'Annex 2 Designated EHV charges'!$D:$O,4,0))</f>
        <v/>
      </c>
      <c r="E146" s="62" t="str">
        <f>IFERROR(IF(VLOOKUP($A146,'Annex 2 Designated EHV charges'!$D:$P,10,FALSE)=0,"",VLOOKUP($A146,'Annex 2 Designated EHV charges'!$D:$P,10,FALSE)),"")</f>
        <v/>
      </c>
      <c r="F146" s="63" t="str">
        <f>IFERROR(IF(VLOOKUP($A146,'Annex 2 Designated EHV charges'!$D:$P,11,FALSE)=0,"",VLOOKUP($A146,'Annex 2 Designated EHV charges'!$D:$P,11,FALSE)),"")</f>
        <v/>
      </c>
      <c r="G146" s="63" t="str">
        <f>IFERROR(IF(VLOOKUP($A146,'Annex 2 Designated EHV charges'!$D:$P,12,FALSE)=0,"",VLOOKUP($A146,'Annex 2 Designated EHV charges'!$D:$P,12,FALSE)),"")</f>
        <v/>
      </c>
      <c r="H146" s="53" t="str">
        <f>IFERROR(IF(VLOOKUP($A146,'Annex 2 Designated EHV charges'!$D:$P,13,FALSE)=0,"",VLOOKUP($A146,'Annex 2 Designated EHV charges'!$D:$P,13,FALSE)),"")</f>
        <v/>
      </c>
    </row>
    <row r="147" spans="1:8" x14ac:dyDescent="0.2">
      <c r="A147" s="53" t="str">
        <f t="array" ref="A147">IFERROR(INDEX('Annex 2 Designated EHV charges'!$D$11:$D$58, MATCH(0, IF(ISBLANK('Annex 2 Designated EHV charges'!$D$11:$D$58),1, COUNTIF(A$4:$A146, 'Annex 2 Designated EHV charges'!$D$11:$D$58)), 0)),"")</f>
        <v/>
      </c>
      <c r="B147" s="53" t="str">
        <f>IF($A147="","",VLOOKUP($A147,'Annex 2 Designated EHV charges'!$D:$O,2,0))</f>
        <v/>
      </c>
      <c r="C147" s="61" t="str">
        <f>IF($A147="","",VLOOKUP($A147,'Annex 2 Designated EHV charges'!$D:$O,3,0))</f>
        <v/>
      </c>
      <c r="D147" s="61" t="str">
        <f>IF($A147="","",VLOOKUP($A147,'Annex 2 Designated EHV charges'!$D:$O,4,0))</f>
        <v/>
      </c>
      <c r="E147" s="62" t="str">
        <f>IFERROR(IF(VLOOKUP($A147,'Annex 2 Designated EHV charges'!$D:$P,10,FALSE)=0,"",VLOOKUP($A147,'Annex 2 Designated EHV charges'!$D:$P,10,FALSE)),"")</f>
        <v/>
      </c>
      <c r="F147" s="63" t="str">
        <f>IFERROR(IF(VLOOKUP($A147,'Annex 2 Designated EHV charges'!$D:$P,11,FALSE)=0,"",VLOOKUP($A147,'Annex 2 Designated EHV charges'!$D:$P,11,FALSE)),"")</f>
        <v/>
      </c>
      <c r="G147" s="63" t="str">
        <f>IFERROR(IF(VLOOKUP($A147,'Annex 2 Designated EHV charges'!$D:$P,12,FALSE)=0,"",VLOOKUP($A147,'Annex 2 Designated EHV charges'!$D:$P,12,FALSE)),"")</f>
        <v/>
      </c>
      <c r="H147" s="53" t="str">
        <f>IFERROR(IF(VLOOKUP($A147,'Annex 2 Designated EHV charges'!$D:$P,13,FALSE)=0,"",VLOOKUP($A147,'Annex 2 Designated EHV charges'!$D:$P,13,FALSE)),"")</f>
        <v/>
      </c>
    </row>
    <row r="148" spans="1:8" x14ac:dyDescent="0.2">
      <c r="A148" s="53" t="str">
        <f t="array" ref="A148">IFERROR(INDEX('Annex 2 Designated EHV charges'!$D$11:$D$58, MATCH(0, IF(ISBLANK('Annex 2 Designated EHV charges'!$D$11:$D$58),1, COUNTIF(A$4:$A147, 'Annex 2 Designated EHV charges'!$D$11:$D$58)), 0)),"")</f>
        <v/>
      </c>
      <c r="B148" s="53" t="str">
        <f>IF($A148="","",VLOOKUP($A148,'Annex 2 Designated EHV charges'!$D:$O,2,0))</f>
        <v/>
      </c>
      <c r="C148" s="61" t="str">
        <f>IF($A148="","",VLOOKUP($A148,'Annex 2 Designated EHV charges'!$D:$O,3,0))</f>
        <v/>
      </c>
      <c r="D148" s="61" t="str">
        <f>IF($A148="","",VLOOKUP($A148,'Annex 2 Designated EHV charges'!$D:$O,4,0))</f>
        <v/>
      </c>
      <c r="E148" s="62" t="str">
        <f>IFERROR(IF(VLOOKUP($A148,'Annex 2 Designated EHV charges'!$D:$P,10,FALSE)=0,"",VLOOKUP($A148,'Annex 2 Designated EHV charges'!$D:$P,10,FALSE)),"")</f>
        <v/>
      </c>
      <c r="F148" s="63" t="str">
        <f>IFERROR(IF(VLOOKUP($A148,'Annex 2 Designated EHV charges'!$D:$P,11,FALSE)=0,"",VLOOKUP($A148,'Annex 2 Designated EHV charges'!$D:$P,11,FALSE)),"")</f>
        <v/>
      </c>
      <c r="G148" s="63" t="str">
        <f>IFERROR(IF(VLOOKUP($A148,'Annex 2 Designated EHV charges'!$D:$P,12,FALSE)=0,"",VLOOKUP($A148,'Annex 2 Designated EHV charges'!$D:$P,12,FALSE)),"")</f>
        <v/>
      </c>
      <c r="H148" s="53" t="str">
        <f>IFERROR(IF(VLOOKUP($A148,'Annex 2 Designated EHV charges'!$D:$P,13,FALSE)=0,"",VLOOKUP($A148,'Annex 2 Designated EHV charges'!$D:$P,13,FALSE)),"")</f>
        <v/>
      </c>
    </row>
    <row r="149" spans="1:8" x14ac:dyDescent="0.2">
      <c r="A149" s="53" t="str">
        <f t="array" ref="A149">IFERROR(INDEX('Annex 2 Designated EHV charges'!$D$11:$D$58, MATCH(0, IF(ISBLANK('Annex 2 Designated EHV charges'!$D$11:$D$58),1, COUNTIF(A$4:$A148, 'Annex 2 Designated EHV charges'!$D$11:$D$58)), 0)),"")</f>
        <v/>
      </c>
      <c r="B149" s="53" t="str">
        <f>IF($A149="","",VLOOKUP($A149,'Annex 2 Designated EHV charges'!$D:$O,2,0))</f>
        <v/>
      </c>
      <c r="C149" s="61" t="str">
        <f>IF($A149="","",VLOOKUP($A149,'Annex 2 Designated EHV charges'!$D:$O,3,0))</f>
        <v/>
      </c>
      <c r="D149" s="61" t="str">
        <f>IF($A149="","",VLOOKUP($A149,'Annex 2 Designated EHV charges'!$D:$O,4,0))</f>
        <v/>
      </c>
      <c r="E149" s="62" t="str">
        <f>IFERROR(IF(VLOOKUP($A149,'Annex 2 Designated EHV charges'!$D:$P,10,FALSE)=0,"",VLOOKUP($A149,'Annex 2 Designated EHV charges'!$D:$P,10,FALSE)),"")</f>
        <v/>
      </c>
      <c r="F149" s="63" t="str">
        <f>IFERROR(IF(VLOOKUP($A149,'Annex 2 Designated EHV charges'!$D:$P,11,FALSE)=0,"",VLOOKUP($A149,'Annex 2 Designated EHV charges'!$D:$P,11,FALSE)),"")</f>
        <v/>
      </c>
      <c r="G149" s="63" t="str">
        <f>IFERROR(IF(VLOOKUP($A149,'Annex 2 Designated EHV charges'!$D:$P,12,FALSE)=0,"",VLOOKUP($A149,'Annex 2 Designated EHV charges'!$D:$P,12,FALSE)),"")</f>
        <v/>
      </c>
      <c r="H149" s="53" t="str">
        <f>IFERROR(IF(VLOOKUP($A149,'Annex 2 Designated EHV charges'!$D:$P,13,FALSE)=0,"",VLOOKUP($A149,'Annex 2 Designated EHV charges'!$D:$P,13,FALSE)),"")</f>
        <v/>
      </c>
    </row>
    <row r="150" spans="1:8" x14ac:dyDescent="0.2">
      <c r="A150" s="53" t="str">
        <f t="array" ref="A150">IFERROR(INDEX('Annex 2 Designated EHV charges'!$D$11:$D$58, MATCH(0, IF(ISBLANK('Annex 2 Designated EHV charges'!$D$11:$D$58),1, COUNTIF(A$4:$A149, 'Annex 2 Designated EHV charges'!$D$11:$D$58)), 0)),"")</f>
        <v/>
      </c>
      <c r="B150" s="53" t="str">
        <f>IF($A150="","",VLOOKUP($A150,'Annex 2 Designated EHV charges'!$D:$O,2,0))</f>
        <v/>
      </c>
      <c r="C150" s="61" t="str">
        <f>IF($A150="","",VLOOKUP($A150,'Annex 2 Designated EHV charges'!$D:$O,3,0))</f>
        <v/>
      </c>
      <c r="D150" s="61" t="str">
        <f>IF($A150="","",VLOOKUP($A150,'Annex 2 Designated EHV charges'!$D:$O,4,0))</f>
        <v/>
      </c>
      <c r="E150" s="62" t="str">
        <f>IFERROR(IF(VLOOKUP($A150,'Annex 2 Designated EHV charges'!$D:$P,10,FALSE)=0,"",VLOOKUP($A150,'Annex 2 Designated EHV charges'!$D:$P,10,FALSE)),"")</f>
        <v/>
      </c>
      <c r="F150" s="63" t="str">
        <f>IFERROR(IF(VLOOKUP($A150,'Annex 2 Designated EHV charges'!$D:$P,11,FALSE)=0,"",VLOOKUP($A150,'Annex 2 Designated EHV charges'!$D:$P,11,FALSE)),"")</f>
        <v/>
      </c>
      <c r="G150" s="63" t="str">
        <f>IFERROR(IF(VLOOKUP($A150,'Annex 2 Designated EHV charges'!$D:$P,12,FALSE)=0,"",VLOOKUP($A150,'Annex 2 Designated EHV charges'!$D:$P,12,FALSE)),"")</f>
        <v/>
      </c>
      <c r="H150" s="53" t="str">
        <f>IFERROR(IF(VLOOKUP($A150,'Annex 2 Designated EHV charges'!$D:$P,13,FALSE)=0,"",VLOOKUP($A150,'Annex 2 Designated EHV charges'!$D:$P,13,FALSE)),"")</f>
        <v/>
      </c>
    </row>
    <row r="151" spans="1:8" x14ac:dyDescent="0.2">
      <c r="A151" s="53" t="str">
        <f t="array" ref="A151">IFERROR(INDEX('Annex 2 Designated EHV charges'!$D$11:$D$58, MATCH(0, IF(ISBLANK('Annex 2 Designated EHV charges'!$D$11:$D$58),1, COUNTIF(A$4:$A150, 'Annex 2 Designated EHV charges'!$D$11:$D$58)), 0)),"")</f>
        <v/>
      </c>
      <c r="B151" s="53" t="str">
        <f>IF($A151="","",VLOOKUP($A151,'Annex 2 Designated EHV charges'!$D:$O,2,0))</f>
        <v/>
      </c>
      <c r="C151" s="61" t="str">
        <f>IF($A151="","",VLOOKUP($A151,'Annex 2 Designated EHV charges'!$D:$O,3,0))</f>
        <v/>
      </c>
      <c r="D151" s="61" t="str">
        <f>IF($A151="","",VLOOKUP($A151,'Annex 2 Designated EHV charges'!$D:$O,4,0))</f>
        <v/>
      </c>
      <c r="E151" s="62" t="str">
        <f>IFERROR(IF(VLOOKUP($A151,'Annex 2 Designated EHV charges'!$D:$P,10,FALSE)=0,"",VLOOKUP($A151,'Annex 2 Designated EHV charges'!$D:$P,10,FALSE)),"")</f>
        <v/>
      </c>
      <c r="F151" s="63" t="str">
        <f>IFERROR(IF(VLOOKUP($A151,'Annex 2 Designated EHV charges'!$D:$P,11,FALSE)=0,"",VLOOKUP($A151,'Annex 2 Designated EHV charges'!$D:$P,11,FALSE)),"")</f>
        <v/>
      </c>
      <c r="G151" s="63" t="str">
        <f>IFERROR(IF(VLOOKUP($A151,'Annex 2 Designated EHV charges'!$D:$P,12,FALSE)=0,"",VLOOKUP($A151,'Annex 2 Designated EHV charges'!$D:$P,12,FALSE)),"")</f>
        <v/>
      </c>
      <c r="H151" s="53" t="str">
        <f>IFERROR(IF(VLOOKUP($A151,'Annex 2 Designated EHV charges'!$D:$P,13,FALSE)=0,"",VLOOKUP($A151,'Annex 2 Designated EHV charges'!$D:$P,13,FALSE)),"")</f>
        <v/>
      </c>
    </row>
    <row r="152" spans="1:8" x14ac:dyDescent="0.2">
      <c r="A152" s="53" t="str">
        <f t="array" ref="A152">IFERROR(INDEX('Annex 2 Designated EHV charges'!$D$11:$D$58, MATCH(0, IF(ISBLANK('Annex 2 Designated EHV charges'!$D$11:$D$58),1, COUNTIF(A$4:$A151, 'Annex 2 Designated EHV charges'!$D$11:$D$58)), 0)),"")</f>
        <v/>
      </c>
      <c r="B152" s="53" t="str">
        <f>IF($A152="","",VLOOKUP($A152,'Annex 2 Designated EHV charges'!$D:$O,2,0))</f>
        <v/>
      </c>
      <c r="C152" s="61" t="str">
        <f>IF($A152="","",VLOOKUP($A152,'Annex 2 Designated EHV charges'!$D:$O,3,0))</f>
        <v/>
      </c>
      <c r="D152" s="61" t="str">
        <f>IF($A152="","",VLOOKUP($A152,'Annex 2 Designated EHV charges'!$D:$O,4,0))</f>
        <v/>
      </c>
      <c r="E152" s="62" t="str">
        <f>IFERROR(IF(VLOOKUP($A152,'Annex 2 Designated EHV charges'!$D:$P,10,FALSE)=0,"",VLOOKUP($A152,'Annex 2 Designated EHV charges'!$D:$P,10,FALSE)),"")</f>
        <v/>
      </c>
      <c r="F152" s="63" t="str">
        <f>IFERROR(IF(VLOOKUP($A152,'Annex 2 Designated EHV charges'!$D:$P,11,FALSE)=0,"",VLOOKUP($A152,'Annex 2 Designated EHV charges'!$D:$P,11,FALSE)),"")</f>
        <v/>
      </c>
      <c r="G152" s="63" t="str">
        <f>IFERROR(IF(VLOOKUP($A152,'Annex 2 Designated EHV charges'!$D:$P,12,FALSE)=0,"",VLOOKUP($A152,'Annex 2 Designated EHV charges'!$D:$P,12,FALSE)),"")</f>
        <v/>
      </c>
      <c r="H152" s="53" t="str">
        <f>IFERROR(IF(VLOOKUP($A152,'Annex 2 Designated EHV charges'!$D:$P,13,FALSE)=0,"",VLOOKUP($A152,'Annex 2 Designated EHV charges'!$D:$P,13,FALSE)),"")</f>
        <v/>
      </c>
    </row>
    <row r="153" spans="1:8" x14ac:dyDescent="0.2">
      <c r="A153" s="53" t="str">
        <f t="array" ref="A153">IFERROR(INDEX('Annex 2 Designated EHV charges'!$D$11:$D$58, MATCH(0, IF(ISBLANK('Annex 2 Designated EHV charges'!$D$11:$D$58),1, COUNTIF(A$4:$A152, 'Annex 2 Designated EHV charges'!$D$11:$D$58)), 0)),"")</f>
        <v/>
      </c>
      <c r="B153" s="53" t="str">
        <f>IF($A153="","",VLOOKUP($A153,'Annex 2 Designated EHV charges'!$D:$O,2,0))</f>
        <v/>
      </c>
      <c r="C153" s="61" t="str">
        <f>IF($A153="","",VLOOKUP($A153,'Annex 2 Designated EHV charges'!$D:$O,3,0))</f>
        <v/>
      </c>
      <c r="D153" s="61" t="str">
        <f>IF($A153="","",VLOOKUP($A153,'Annex 2 Designated EHV charges'!$D:$O,4,0))</f>
        <v/>
      </c>
      <c r="E153" s="62" t="str">
        <f>IFERROR(IF(VLOOKUP($A153,'Annex 2 Designated EHV charges'!$D:$P,10,FALSE)=0,"",VLOOKUP($A153,'Annex 2 Designated EHV charges'!$D:$P,10,FALSE)),"")</f>
        <v/>
      </c>
      <c r="F153" s="63" t="str">
        <f>IFERROR(IF(VLOOKUP($A153,'Annex 2 Designated EHV charges'!$D:$P,11,FALSE)=0,"",VLOOKUP($A153,'Annex 2 Designated EHV charges'!$D:$P,11,FALSE)),"")</f>
        <v/>
      </c>
      <c r="G153" s="63" t="str">
        <f>IFERROR(IF(VLOOKUP($A153,'Annex 2 Designated EHV charges'!$D:$P,12,FALSE)=0,"",VLOOKUP($A153,'Annex 2 Designated EHV charges'!$D:$P,12,FALSE)),"")</f>
        <v/>
      </c>
      <c r="H153" s="53" t="str">
        <f>IFERROR(IF(VLOOKUP($A153,'Annex 2 Designated EHV charges'!$D:$P,13,FALSE)=0,"",VLOOKUP($A153,'Annex 2 Designated EHV charges'!$D:$P,13,FALSE)),"")</f>
        <v/>
      </c>
    </row>
    <row r="154" spans="1:8" x14ac:dyDescent="0.2">
      <c r="A154" s="53" t="str">
        <f t="array" ref="A154">IFERROR(INDEX('Annex 2 Designated EHV charges'!$D$11:$D$58, MATCH(0, IF(ISBLANK('Annex 2 Designated EHV charges'!$D$11:$D$58),1, COUNTIF(A$4:$A153, 'Annex 2 Designated EHV charges'!$D$11:$D$58)), 0)),"")</f>
        <v/>
      </c>
      <c r="B154" s="53" t="str">
        <f>IF($A154="","",VLOOKUP($A154,'Annex 2 Designated EHV charges'!$D:$O,2,0))</f>
        <v/>
      </c>
      <c r="C154" s="61" t="str">
        <f>IF($A154="","",VLOOKUP($A154,'Annex 2 Designated EHV charges'!$D:$O,3,0))</f>
        <v/>
      </c>
      <c r="D154" s="61" t="str">
        <f>IF($A154="","",VLOOKUP($A154,'Annex 2 Designated EHV charges'!$D:$O,4,0))</f>
        <v/>
      </c>
      <c r="E154" s="62" t="str">
        <f>IFERROR(IF(VLOOKUP($A154,'Annex 2 Designated EHV charges'!$D:$P,10,FALSE)=0,"",VLOOKUP($A154,'Annex 2 Designated EHV charges'!$D:$P,10,FALSE)),"")</f>
        <v/>
      </c>
      <c r="F154" s="63" t="str">
        <f>IFERROR(IF(VLOOKUP($A154,'Annex 2 Designated EHV charges'!$D:$P,11,FALSE)=0,"",VLOOKUP($A154,'Annex 2 Designated EHV charges'!$D:$P,11,FALSE)),"")</f>
        <v/>
      </c>
      <c r="G154" s="63" t="str">
        <f>IFERROR(IF(VLOOKUP($A154,'Annex 2 Designated EHV charges'!$D:$P,12,FALSE)=0,"",VLOOKUP($A154,'Annex 2 Designated EHV charges'!$D:$P,12,FALSE)),"")</f>
        <v/>
      </c>
      <c r="H154" s="53" t="str">
        <f>IFERROR(IF(VLOOKUP($A154,'Annex 2 Designated EHV charges'!$D:$P,13,FALSE)=0,"",VLOOKUP($A154,'Annex 2 Designated EHV charges'!$D:$P,13,FALSE)),"")</f>
        <v/>
      </c>
    </row>
    <row r="155" spans="1:8" x14ac:dyDescent="0.2">
      <c r="A155" s="53" t="str">
        <f t="array" ref="A155">IFERROR(INDEX('Annex 2 Designated EHV charges'!$D$11:$D$58, MATCH(0, IF(ISBLANK('Annex 2 Designated EHV charges'!$D$11:$D$58),1, COUNTIF(A$4:$A154, 'Annex 2 Designated EHV charges'!$D$11:$D$58)), 0)),"")</f>
        <v/>
      </c>
      <c r="B155" s="53" t="str">
        <f>IF($A155="","",VLOOKUP($A155,'Annex 2 Designated EHV charges'!$D:$O,2,0))</f>
        <v/>
      </c>
      <c r="C155" s="61" t="str">
        <f>IF($A155="","",VLOOKUP($A155,'Annex 2 Designated EHV charges'!$D:$O,3,0))</f>
        <v/>
      </c>
      <c r="D155" s="61" t="str">
        <f>IF($A155="","",VLOOKUP($A155,'Annex 2 Designated EHV charges'!$D:$O,4,0))</f>
        <v/>
      </c>
      <c r="E155" s="62" t="str">
        <f>IFERROR(IF(VLOOKUP($A155,'Annex 2 Designated EHV charges'!$D:$P,10,FALSE)=0,"",VLOOKUP($A155,'Annex 2 Designated EHV charges'!$D:$P,10,FALSE)),"")</f>
        <v/>
      </c>
      <c r="F155" s="63" t="str">
        <f>IFERROR(IF(VLOOKUP($A155,'Annex 2 Designated EHV charges'!$D:$P,11,FALSE)=0,"",VLOOKUP($A155,'Annex 2 Designated EHV charges'!$D:$P,11,FALSE)),"")</f>
        <v/>
      </c>
      <c r="G155" s="63" t="str">
        <f>IFERROR(IF(VLOOKUP($A155,'Annex 2 Designated EHV charges'!$D:$P,12,FALSE)=0,"",VLOOKUP($A155,'Annex 2 Designated EHV charges'!$D:$P,12,FALSE)),"")</f>
        <v/>
      </c>
      <c r="H155" s="53" t="str">
        <f>IFERROR(IF(VLOOKUP($A155,'Annex 2 Designated EHV charges'!$D:$P,13,FALSE)=0,"",VLOOKUP($A155,'Annex 2 Designated EHV charges'!$D:$P,13,FALSE)),"")</f>
        <v/>
      </c>
    </row>
    <row r="156" spans="1:8" x14ac:dyDescent="0.2">
      <c r="A156" s="53" t="str">
        <f t="array" ref="A156">IFERROR(INDEX('Annex 2 Designated EHV charges'!$D$11:$D$58, MATCH(0, IF(ISBLANK('Annex 2 Designated EHV charges'!$D$11:$D$58),1, COUNTIF(A$4:$A155, 'Annex 2 Designated EHV charges'!$D$11:$D$58)), 0)),"")</f>
        <v/>
      </c>
      <c r="B156" s="53" t="str">
        <f>IF($A156="","",VLOOKUP($A156,'Annex 2 Designated EHV charges'!$D:$O,2,0))</f>
        <v/>
      </c>
      <c r="C156" s="61" t="str">
        <f>IF($A156="","",VLOOKUP($A156,'Annex 2 Designated EHV charges'!$D:$O,3,0))</f>
        <v/>
      </c>
      <c r="D156" s="61" t="str">
        <f>IF($A156="","",VLOOKUP($A156,'Annex 2 Designated EHV charges'!$D:$O,4,0))</f>
        <v/>
      </c>
      <c r="E156" s="62" t="str">
        <f>IFERROR(IF(VLOOKUP($A156,'Annex 2 Designated EHV charges'!$D:$P,10,FALSE)=0,"",VLOOKUP($A156,'Annex 2 Designated EHV charges'!$D:$P,10,FALSE)),"")</f>
        <v/>
      </c>
      <c r="F156" s="63" t="str">
        <f>IFERROR(IF(VLOOKUP($A156,'Annex 2 Designated EHV charges'!$D:$P,11,FALSE)=0,"",VLOOKUP($A156,'Annex 2 Designated EHV charges'!$D:$P,11,FALSE)),"")</f>
        <v/>
      </c>
      <c r="G156" s="63" t="str">
        <f>IFERROR(IF(VLOOKUP($A156,'Annex 2 Designated EHV charges'!$D:$P,12,FALSE)=0,"",VLOOKUP($A156,'Annex 2 Designated EHV charges'!$D:$P,12,FALSE)),"")</f>
        <v/>
      </c>
      <c r="H156" s="53" t="str">
        <f>IFERROR(IF(VLOOKUP($A156,'Annex 2 Designated EHV charges'!$D:$P,13,FALSE)=0,"",VLOOKUP($A156,'Annex 2 Designated EHV charges'!$D:$P,13,FALSE)),"")</f>
        <v/>
      </c>
    </row>
    <row r="157" spans="1:8" x14ac:dyDescent="0.2">
      <c r="A157" s="53" t="str">
        <f t="array" ref="A157">IFERROR(INDEX('Annex 2 Designated EHV charges'!$D$11:$D$58, MATCH(0, IF(ISBLANK('Annex 2 Designated EHV charges'!$D$11:$D$58),1, COUNTIF(A$4:$A156, 'Annex 2 Designated EHV charges'!$D$11:$D$58)), 0)),"")</f>
        <v/>
      </c>
      <c r="B157" s="53" t="str">
        <f>IF($A157="","",VLOOKUP($A157,'Annex 2 Designated EHV charges'!$D:$O,2,0))</f>
        <v/>
      </c>
      <c r="C157" s="61" t="str">
        <f>IF($A157="","",VLOOKUP($A157,'Annex 2 Designated EHV charges'!$D:$O,3,0))</f>
        <v/>
      </c>
      <c r="D157" s="61" t="str">
        <f>IF($A157="","",VLOOKUP($A157,'Annex 2 Designated EHV charges'!$D:$O,4,0))</f>
        <v/>
      </c>
      <c r="E157" s="62" t="str">
        <f>IFERROR(IF(VLOOKUP($A157,'Annex 2 Designated EHV charges'!$D:$P,10,FALSE)=0,"",VLOOKUP($A157,'Annex 2 Designated EHV charges'!$D:$P,10,FALSE)),"")</f>
        <v/>
      </c>
      <c r="F157" s="63" t="str">
        <f>IFERROR(IF(VLOOKUP($A157,'Annex 2 Designated EHV charges'!$D:$P,11,FALSE)=0,"",VLOOKUP($A157,'Annex 2 Designated EHV charges'!$D:$P,11,FALSE)),"")</f>
        <v/>
      </c>
      <c r="G157" s="63" t="str">
        <f>IFERROR(IF(VLOOKUP($A157,'Annex 2 Designated EHV charges'!$D:$P,12,FALSE)=0,"",VLOOKUP($A157,'Annex 2 Designated EHV charges'!$D:$P,12,FALSE)),"")</f>
        <v/>
      </c>
      <c r="H157" s="53" t="str">
        <f>IFERROR(IF(VLOOKUP($A157,'Annex 2 Designated EHV charges'!$D:$P,13,FALSE)=0,"",VLOOKUP($A157,'Annex 2 Designated EHV charges'!$D:$P,13,FALSE)),"")</f>
        <v/>
      </c>
    </row>
    <row r="158" spans="1:8" x14ac:dyDescent="0.2">
      <c r="A158" s="53" t="str">
        <f t="array" ref="A158">IFERROR(INDEX('Annex 2 Designated EHV charges'!$D$11:$D$58, MATCH(0, IF(ISBLANK('Annex 2 Designated EHV charges'!$D$11:$D$58),1, COUNTIF(A$4:$A157, 'Annex 2 Designated EHV charges'!$D$11:$D$58)), 0)),"")</f>
        <v/>
      </c>
      <c r="B158" s="53" t="str">
        <f>IF($A158="","",VLOOKUP($A158,'Annex 2 Designated EHV charges'!$D:$O,2,0))</f>
        <v/>
      </c>
      <c r="C158" s="61" t="str">
        <f>IF($A158="","",VLOOKUP($A158,'Annex 2 Designated EHV charges'!$D:$O,3,0))</f>
        <v/>
      </c>
      <c r="D158" s="61" t="str">
        <f>IF($A158="","",VLOOKUP($A158,'Annex 2 Designated EHV charges'!$D:$O,4,0))</f>
        <v/>
      </c>
      <c r="E158" s="62" t="str">
        <f>IFERROR(IF(VLOOKUP($A158,'Annex 2 Designated EHV charges'!$D:$P,10,FALSE)=0,"",VLOOKUP($A158,'Annex 2 Designated EHV charges'!$D:$P,10,FALSE)),"")</f>
        <v/>
      </c>
      <c r="F158" s="63" t="str">
        <f>IFERROR(IF(VLOOKUP($A158,'Annex 2 Designated EHV charges'!$D:$P,11,FALSE)=0,"",VLOOKUP($A158,'Annex 2 Designated EHV charges'!$D:$P,11,FALSE)),"")</f>
        <v/>
      </c>
      <c r="G158" s="63" t="str">
        <f>IFERROR(IF(VLOOKUP($A158,'Annex 2 Designated EHV charges'!$D:$P,12,FALSE)=0,"",VLOOKUP($A158,'Annex 2 Designated EHV charges'!$D:$P,12,FALSE)),"")</f>
        <v/>
      </c>
      <c r="H158" s="53" t="str">
        <f>IFERROR(IF(VLOOKUP($A158,'Annex 2 Designated EHV charges'!$D:$P,13,FALSE)=0,"",VLOOKUP($A158,'Annex 2 Designated EHV charges'!$D:$P,13,FALSE)),"")</f>
        <v/>
      </c>
    </row>
    <row r="159" spans="1:8" x14ac:dyDescent="0.2">
      <c r="A159" s="53" t="str">
        <f t="array" ref="A159">IFERROR(INDEX('Annex 2 Designated EHV charges'!$D$11:$D$58, MATCH(0, IF(ISBLANK('Annex 2 Designated EHV charges'!$D$11:$D$58),1, COUNTIF(A$4:$A158, 'Annex 2 Designated EHV charges'!$D$11:$D$58)), 0)),"")</f>
        <v/>
      </c>
      <c r="B159" s="53" t="str">
        <f>IF($A159="","",VLOOKUP($A159,'Annex 2 Designated EHV charges'!$D:$O,2,0))</f>
        <v/>
      </c>
      <c r="C159" s="61" t="str">
        <f>IF($A159="","",VLOOKUP($A159,'Annex 2 Designated EHV charges'!$D:$O,3,0))</f>
        <v/>
      </c>
      <c r="D159" s="61" t="str">
        <f>IF($A159="","",VLOOKUP($A159,'Annex 2 Designated EHV charges'!$D:$O,4,0))</f>
        <v/>
      </c>
      <c r="E159" s="62" t="str">
        <f>IFERROR(IF(VLOOKUP($A159,'Annex 2 Designated EHV charges'!$D:$P,10,FALSE)=0,"",VLOOKUP($A159,'Annex 2 Designated EHV charges'!$D:$P,10,FALSE)),"")</f>
        <v/>
      </c>
      <c r="F159" s="63" t="str">
        <f>IFERROR(IF(VLOOKUP($A159,'Annex 2 Designated EHV charges'!$D:$P,11,FALSE)=0,"",VLOOKUP($A159,'Annex 2 Designated EHV charges'!$D:$P,11,FALSE)),"")</f>
        <v/>
      </c>
      <c r="G159" s="63" t="str">
        <f>IFERROR(IF(VLOOKUP($A159,'Annex 2 Designated EHV charges'!$D:$P,12,FALSE)=0,"",VLOOKUP($A159,'Annex 2 Designated EHV charges'!$D:$P,12,FALSE)),"")</f>
        <v/>
      </c>
      <c r="H159" s="53" t="str">
        <f>IFERROR(IF(VLOOKUP($A159,'Annex 2 Designated EHV charges'!$D:$P,13,FALSE)=0,"",VLOOKUP($A159,'Annex 2 Designated EHV charges'!$D:$P,13,FALSE)),"")</f>
        <v/>
      </c>
    </row>
    <row r="160" spans="1:8" x14ac:dyDescent="0.2">
      <c r="A160" s="53" t="str">
        <f t="array" ref="A160">IFERROR(INDEX('Annex 2 Designated EHV charges'!$D$11:$D$58, MATCH(0, IF(ISBLANK('Annex 2 Designated EHV charges'!$D$11:$D$58),1, COUNTIF(A$4:$A159, 'Annex 2 Designated EHV charges'!$D$11:$D$58)), 0)),"")</f>
        <v/>
      </c>
      <c r="B160" s="53" t="str">
        <f>IF($A160="","",VLOOKUP($A160,'Annex 2 Designated EHV charges'!$D:$O,2,0))</f>
        <v/>
      </c>
      <c r="C160" s="61" t="str">
        <f>IF($A160="","",VLOOKUP($A160,'Annex 2 Designated EHV charges'!$D:$O,3,0))</f>
        <v/>
      </c>
      <c r="D160" s="61" t="str">
        <f>IF($A160="","",VLOOKUP($A160,'Annex 2 Designated EHV charges'!$D:$O,4,0))</f>
        <v/>
      </c>
      <c r="E160" s="62" t="str">
        <f>IFERROR(IF(VLOOKUP($A160,'Annex 2 Designated EHV charges'!$D:$P,10,FALSE)=0,"",VLOOKUP($A160,'Annex 2 Designated EHV charges'!$D:$P,10,FALSE)),"")</f>
        <v/>
      </c>
      <c r="F160" s="63" t="str">
        <f>IFERROR(IF(VLOOKUP($A160,'Annex 2 Designated EHV charges'!$D:$P,11,FALSE)=0,"",VLOOKUP($A160,'Annex 2 Designated EHV charges'!$D:$P,11,FALSE)),"")</f>
        <v/>
      </c>
      <c r="G160" s="63" t="str">
        <f>IFERROR(IF(VLOOKUP($A160,'Annex 2 Designated EHV charges'!$D:$P,12,FALSE)=0,"",VLOOKUP($A160,'Annex 2 Designated EHV charges'!$D:$P,12,FALSE)),"")</f>
        <v/>
      </c>
      <c r="H160" s="53" t="str">
        <f>IFERROR(IF(VLOOKUP($A160,'Annex 2 Designated EHV charges'!$D:$P,13,FALSE)=0,"",VLOOKUP($A160,'Annex 2 Designated EHV charges'!$D:$P,13,FALSE)),"")</f>
        <v/>
      </c>
    </row>
    <row r="161" spans="1:8" x14ac:dyDescent="0.2">
      <c r="A161" s="53" t="str">
        <f t="array" ref="A161">IFERROR(INDEX('Annex 2 Designated EHV charges'!$D$11:$D$58, MATCH(0, IF(ISBLANK('Annex 2 Designated EHV charges'!$D$11:$D$58),1, COUNTIF(A$4:$A160, 'Annex 2 Designated EHV charges'!$D$11:$D$58)), 0)),"")</f>
        <v/>
      </c>
      <c r="B161" s="53" t="str">
        <f>IF($A161="","",VLOOKUP($A161,'Annex 2 Designated EHV charges'!$D:$O,2,0))</f>
        <v/>
      </c>
      <c r="C161" s="61" t="str">
        <f>IF($A161="","",VLOOKUP($A161,'Annex 2 Designated EHV charges'!$D:$O,3,0))</f>
        <v/>
      </c>
      <c r="D161" s="61" t="str">
        <f>IF($A161="","",VLOOKUP($A161,'Annex 2 Designated EHV charges'!$D:$O,4,0))</f>
        <v/>
      </c>
      <c r="E161" s="62" t="str">
        <f>IFERROR(IF(VLOOKUP($A161,'Annex 2 Designated EHV charges'!$D:$P,10,FALSE)=0,"",VLOOKUP($A161,'Annex 2 Designated EHV charges'!$D:$P,10,FALSE)),"")</f>
        <v/>
      </c>
      <c r="F161" s="63" t="str">
        <f>IFERROR(IF(VLOOKUP($A161,'Annex 2 Designated EHV charges'!$D:$P,11,FALSE)=0,"",VLOOKUP($A161,'Annex 2 Designated EHV charges'!$D:$P,11,FALSE)),"")</f>
        <v/>
      </c>
      <c r="G161" s="63" t="str">
        <f>IFERROR(IF(VLOOKUP($A161,'Annex 2 Designated EHV charges'!$D:$P,12,FALSE)=0,"",VLOOKUP($A161,'Annex 2 Designated EHV charges'!$D:$P,12,FALSE)),"")</f>
        <v/>
      </c>
      <c r="H161" s="53" t="str">
        <f>IFERROR(IF(VLOOKUP($A161,'Annex 2 Designated EHV charges'!$D:$P,13,FALSE)=0,"",VLOOKUP($A161,'Annex 2 Designated EHV charges'!$D:$P,13,FALSE)),"")</f>
        <v/>
      </c>
    </row>
    <row r="162" spans="1:8" x14ac:dyDescent="0.2">
      <c r="A162" s="53" t="str">
        <f t="array" ref="A162">IFERROR(INDEX('Annex 2 Designated EHV charges'!$D$11:$D$58, MATCH(0, IF(ISBLANK('Annex 2 Designated EHV charges'!$D$11:$D$58),1, COUNTIF(A$4:$A161, 'Annex 2 Designated EHV charges'!$D$11:$D$58)), 0)),"")</f>
        <v/>
      </c>
      <c r="B162" s="53" t="str">
        <f>IF($A162="","",VLOOKUP($A162,'Annex 2 Designated EHV charges'!$D:$O,2,0))</f>
        <v/>
      </c>
      <c r="C162" s="61" t="str">
        <f>IF($A162="","",VLOOKUP($A162,'Annex 2 Designated EHV charges'!$D:$O,3,0))</f>
        <v/>
      </c>
      <c r="D162" s="61" t="str">
        <f>IF($A162="","",VLOOKUP($A162,'Annex 2 Designated EHV charges'!$D:$O,4,0))</f>
        <v/>
      </c>
      <c r="E162" s="62" t="str">
        <f>IFERROR(IF(VLOOKUP($A162,'Annex 2 Designated EHV charges'!$D:$P,10,FALSE)=0,"",VLOOKUP($A162,'Annex 2 Designated EHV charges'!$D:$P,10,FALSE)),"")</f>
        <v/>
      </c>
      <c r="F162" s="63" t="str">
        <f>IFERROR(IF(VLOOKUP($A162,'Annex 2 Designated EHV charges'!$D:$P,11,FALSE)=0,"",VLOOKUP($A162,'Annex 2 Designated EHV charges'!$D:$P,11,FALSE)),"")</f>
        <v/>
      </c>
      <c r="G162" s="63" t="str">
        <f>IFERROR(IF(VLOOKUP($A162,'Annex 2 Designated EHV charges'!$D:$P,12,FALSE)=0,"",VLOOKUP($A162,'Annex 2 Designated EHV charges'!$D:$P,12,FALSE)),"")</f>
        <v/>
      </c>
      <c r="H162" s="53" t="str">
        <f>IFERROR(IF(VLOOKUP($A162,'Annex 2 Designated EHV charges'!$D:$P,13,FALSE)=0,"",VLOOKUP($A162,'Annex 2 Designated EHV charges'!$D:$P,13,FALSE)),"")</f>
        <v/>
      </c>
    </row>
    <row r="163" spans="1:8" x14ac:dyDescent="0.2">
      <c r="A163" s="53" t="str">
        <f t="array" ref="A163">IFERROR(INDEX('Annex 2 Designated EHV charges'!$D$11:$D$58, MATCH(0, IF(ISBLANK('Annex 2 Designated EHV charges'!$D$11:$D$58),1, COUNTIF(A$4:$A162, 'Annex 2 Designated EHV charges'!$D$11:$D$58)), 0)),"")</f>
        <v/>
      </c>
      <c r="B163" s="53" t="str">
        <f>IF($A163="","",VLOOKUP($A163,'Annex 2 Designated EHV charges'!$D:$O,2,0))</f>
        <v/>
      </c>
      <c r="C163" s="61" t="str">
        <f>IF($A163="","",VLOOKUP($A163,'Annex 2 Designated EHV charges'!$D:$O,3,0))</f>
        <v/>
      </c>
      <c r="D163" s="61" t="str">
        <f>IF($A163="","",VLOOKUP($A163,'Annex 2 Designated EHV charges'!$D:$O,4,0))</f>
        <v/>
      </c>
      <c r="E163" s="62" t="str">
        <f>IFERROR(IF(VLOOKUP($A163,'Annex 2 Designated EHV charges'!$D:$P,10,FALSE)=0,"",VLOOKUP($A163,'Annex 2 Designated EHV charges'!$D:$P,10,FALSE)),"")</f>
        <v/>
      </c>
      <c r="F163" s="63" t="str">
        <f>IFERROR(IF(VLOOKUP($A163,'Annex 2 Designated EHV charges'!$D:$P,11,FALSE)=0,"",VLOOKUP($A163,'Annex 2 Designated EHV charges'!$D:$P,11,FALSE)),"")</f>
        <v/>
      </c>
      <c r="G163" s="63" t="str">
        <f>IFERROR(IF(VLOOKUP($A163,'Annex 2 Designated EHV charges'!$D:$P,12,FALSE)=0,"",VLOOKUP($A163,'Annex 2 Designated EHV charges'!$D:$P,12,FALSE)),"")</f>
        <v/>
      </c>
      <c r="H163" s="53" t="str">
        <f>IFERROR(IF(VLOOKUP($A163,'Annex 2 Designated EHV charges'!$D:$P,13,FALSE)=0,"",VLOOKUP($A163,'Annex 2 Designated EHV charges'!$D:$P,13,FALSE)),"")</f>
        <v/>
      </c>
    </row>
    <row r="164" spans="1:8" x14ac:dyDescent="0.2">
      <c r="A164" s="53" t="str">
        <f t="array" ref="A164">IFERROR(INDEX('Annex 2 Designated EHV charges'!$D$11:$D$58, MATCH(0, IF(ISBLANK('Annex 2 Designated EHV charges'!$D$11:$D$58),1, COUNTIF(A$4:$A163, 'Annex 2 Designated EHV charges'!$D$11:$D$58)), 0)),"")</f>
        <v/>
      </c>
      <c r="B164" s="53" t="str">
        <f>IF($A164="","",VLOOKUP($A164,'Annex 2 Designated EHV charges'!$D:$O,2,0))</f>
        <v/>
      </c>
      <c r="C164" s="61" t="str">
        <f>IF($A164="","",VLOOKUP($A164,'Annex 2 Designated EHV charges'!$D:$O,3,0))</f>
        <v/>
      </c>
      <c r="D164" s="61" t="str">
        <f>IF($A164="","",VLOOKUP($A164,'Annex 2 Designated EHV charges'!$D:$O,4,0))</f>
        <v/>
      </c>
      <c r="E164" s="62" t="str">
        <f>IFERROR(IF(VLOOKUP($A164,'Annex 2 Designated EHV charges'!$D:$P,10,FALSE)=0,"",VLOOKUP($A164,'Annex 2 Designated EHV charges'!$D:$P,10,FALSE)),"")</f>
        <v/>
      </c>
      <c r="F164" s="63" t="str">
        <f>IFERROR(IF(VLOOKUP($A164,'Annex 2 Designated EHV charges'!$D:$P,11,FALSE)=0,"",VLOOKUP($A164,'Annex 2 Designated EHV charges'!$D:$P,11,FALSE)),"")</f>
        <v/>
      </c>
      <c r="G164" s="63" t="str">
        <f>IFERROR(IF(VLOOKUP($A164,'Annex 2 Designated EHV charges'!$D:$P,12,FALSE)=0,"",VLOOKUP($A164,'Annex 2 Designated EHV charges'!$D:$P,12,FALSE)),"")</f>
        <v/>
      </c>
      <c r="H164" s="53" t="str">
        <f>IFERROR(IF(VLOOKUP($A164,'Annex 2 Designated EHV charges'!$D:$P,13,FALSE)=0,"",VLOOKUP($A164,'Annex 2 Designated EHV charges'!$D:$P,13,FALSE)),"")</f>
        <v/>
      </c>
    </row>
    <row r="165" spans="1:8" x14ac:dyDescent="0.2">
      <c r="A165" s="53" t="str">
        <f t="array" ref="A165">IFERROR(INDEX('Annex 2 Designated EHV charges'!$D$11:$D$58, MATCH(0, IF(ISBLANK('Annex 2 Designated EHV charges'!$D$11:$D$58),1, COUNTIF(A$4:$A164, 'Annex 2 Designated EHV charges'!$D$11:$D$58)), 0)),"")</f>
        <v/>
      </c>
      <c r="B165" s="53" t="str">
        <f>IF($A165="","",VLOOKUP($A165,'Annex 2 Designated EHV charges'!$D:$O,2,0))</f>
        <v/>
      </c>
      <c r="C165" s="61" t="str">
        <f>IF($A165="","",VLOOKUP($A165,'Annex 2 Designated EHV charges'!$D:$O,3,0))</f>
        <v/>
      </c>
      <c r="D165" s="61" t="str">
        <f>IF($A165="","",VLOOKUP($A165,'Annex 2 Designated EHV charges'!$D:$O,4,0))</f>
        <v/>
      </c>
      <c r="E165" s="62" t="str">
        <f>IFERROR(IF(VLOOKUP($A165,'Annex 2 Designated EHV charges'!$D:$P,10,FALSE)=0,"",VLOOKUP($A165,'Annex 2 Designated EHV charges'!$D:$P,10,FALSE)),"")</f>
        <v/>
      </c>
      <c r="F165" s="63" t="str">
        <f>IFERROR(IF(VLOOKUP($A165,'Annex 2 Designated EHV charges'!$D:$P,11,FALSE)=0,"",VLOOKUP($A165,'Annex 2 Designated EHV charges'!$D:$P,11,FALSE)),"")</f>
        <v/>
      </c>
      <c r="G165" s="63" t="str">
        <f>IFERROR(IF(VLOOKUP($A165,'Annex 2 Designated EHV charges'!$D:$P,12,FALSE)=0,"",VLOOKUP($A165,'Annex 2 Designated EHV charges'!$D:$P,12,FALSE)),"")</f>
        <v/>
      </c>
      <c r="H165" s="53" t="str">
        <f>IFERROR(IF(VLOOKUP($A165,'Annex 2 Designated EHV charges'!$D:$P,13,FALSE)=0,"",VLOOKUP($A165,'Annex 2 Designated EHV charges'!$D:$P,13,FALSE)),"")</f>
        <v/>
      </c>
    </row>
    <row r="166" spans="1:8" x14ac:dyDescent="0.2">
      <c r="A166" s="53" t="str">
        <f t="array" ref="A166">IFERROR(INDEX('Annex 2 Designated EHV charges'!$D$11:$D$58, MATCH(0, IF(ISBLANK('Annex 2 Designated EHV charges'!$D$11:$D$58),1, COUNTIF(A$4:$A165, 'Annex 2 Designated EHV charges'!$D$11:$D$58)), 0)),"")</f>
        <v/>
      </c>
      <c r="B166" s="53" t="str">
        <f>IF($A166="","",VLOOKUP($A166,'Annex 2 Designated EHV charges'!$D:$O,2,0))</f>
        <v/>
      </c>
      <c r="C166" s="61" t="str">
        <f>IF($A166="","",VLOOKUP($A166,'Annex 2 Designated EHV charges'!$D:$O,3,0))</f>
        <v/>
      </c>
      <c r="D166" s="61" t="str">
        <f>IF($A166="","",VLOOKUP($A166,'Annex 2 Designated EHV charges'!$D:$O,4,0))</f>
        <v/>
      </c>
      <c r="E166" s="62" t="str">
        <f>IFERROR(IF(VLOOKUP($A166,'Annex 2 Designated EHV charges'!$D:$P,10,FALSE)=0,"",VLOOKUP($A166,'Annex 2 Designated EHV charges'!$D:$P,10,FALSE)),"")</f>
        <v/>
      </c>
      <c r="F166" s="63" t="str">
        <f>IFERROR(IF(VLOOKUP($A166,'Annex 2 Designated EHV charges'!$D:$P,11,FALSE)=0,"",VLOOKUP($A166,'Annex 2 Designated EHV charges'!$D:$P,11,FALSE)),"")</f>
        <v/>
      </c>
      <c r="G166" s="63" t="str">
        <f>IFERROR(IF(VLOOKUP($A166,'Annex 2 Designated EHV charges'!$D:$P,12,FALSE)=0,"",VLOOKUP($A166,'Annex 2 Designated EHV charges'!$D:$P,12,FALSE)),"")</f>
        <v/>
      </c>
      <c r="H166" s="53" t="str">
        <f>IFERROR(IF(VLOOKUP($A166,'Annex 2 Designated EHV charges'!$D:$P,13,FALSE)=0,"",VLOOKUP($A166,'Annex 2 Designated EHV charges'!$D:$P,13,FALSE)),"")</f>
        <v/>
      </c>
    </row>
    <row r="167" spans="1:8" x14ac:dyDescent="0.2">
      <c r="A167" s="53" t="str">
        <f t="array" ref="A167">IFERROR(INDEX('Annex 2 Designated EHV charges'!$D$11:$D$58, MATCH(0, IF(ISBLANK('Annex 2 Designated EHV charges'!$D$11:$D$58),1, COUNTIF(A$4:$A166, 'Annex 2 Designated EHV charges'!$D$11:$D$58)), 0)),"")</f>
        <v/>
      </c>
      <c r="B167" s="53" t="str">
        <f>IF($A167="","",VLOOKUP($A167,'Annex 2 Designated EHV charges'!$D:$O,2,0))</f>
        <v/>
      </c>
      <c r="C167" s="61" t="str">
        <f>IF($A167="","",VLOOKUP($A167,'Annex 2 Designated EHV charges'!$D:$O,3,0))</f>
        <v/>
      </c>
      <c r="D167" s="61" t="str">
        <f>IF($A167="","",VLOOKUP($A167,'Annex 2 Designated EHV charges'!$D:$O,4,0))</f>
        <v/>
      </c>
      <c r="E167" s="62" t="str">
        <f>IFERROR(IF(VLOOKUP($A167,'Annex 2 Designated EHV charges'!$D:$P,10,FALSE)=0,"",VLOOKUP($A167,'Annex 2 Designated EHV charges'!$D:$P,10,FALSE)),"")</f>
        <v/>
      </c>
      <c r="F167" s="63" t="str">
        <f>IFERROR(IF(VLOOKUP($A167,'Annex 2 Designated EHV charges'!$D:$P,11,FALSE)=0,"",VLOOKUP($A167,'Annex 2 Designated EHV charges'!$D:$P,11,FALSE)),"")</f>
        <v/>
      </c>
      <c r="G167" s="63" t="str">
        <f>IFERROR(IF(VLOOKUP($A167,'Annex 2 Designated EHV charges'!$D:$P,12,FALSE)=0,"",VLOOKUP($A167,'Annex 2 Designated EHV charges'!$D:$P,12,FALSE)),"")</f>
        <v/>
      </c>
      <c r="H167" s="53" t="str">
        <f>IFERROR(IF(VLOOKUP($A167,'Annex 2 Designated EHV charges'!$D:$P,13,FALSE)=0,"",VLOOKUP($A167,'Annex 2 Designated EHV charges'!$D:$P,13,FALSE)),"")</f>
        <v/>
      </c>
    </row>
    <row r="168" spans="1:8" x14ac:dyDescent="0.2">
      <c r="A168" s="53" t="str">
        <f t="array" ref="A168">IFERROR(INDEX('Annex 2 Designated EHV charges'!$D$11:$D$58, MATCH(0, IF(ISBLANK('Annex 2 Designated EHV charges'!$D$11:$D$58),1, COUNTIF(A$4:$A167, 'Annex 2 Designated EHV charges'!$D$11:$D$58)), 0)),"")</f>
        <v/>
      </c>
      <c r="B168" s="53" t="str">
        <f>IF($A168="","",VLOOKUP($A168,'Annex 2 Designated EHV charges'!$D:$O,2,0))</f>
        <v/>
      </c>
      <c r="C168" s="61" t="str">
        <f>IF($A168="","",VLOOKUP($A168,'Annex 2 Designated EHV charges'!$D:$O,3,0))</f>
        <v/>
      </c>
      <c r="D168" s="61" t="str">
        <f>IF($A168="","",VLOOKUP($A168,'Annex 2 Designated EHV charges'!$D:$O,4,0))</f>
        <v/>
      </c>
      <c r="E168" s="62" t="str">
        <f>IFERROR(IF(VLOOKUP($A168,'Annex 2 Designated EHV charges'!$D:$P,10,FALSE)=0,"",VLOOKUP($A168,'Annex 2 Designated EHV charges'!$D:$P,10,FALSE)),"")</f>
        <v/>
      </c>
      <c r="F168" s="63" t="str">
        <f>IFERROR(IF(VLOOKUP($A168,'Annex 2 Designated EHV charges'!$D:$P,11,FALSE)=0,"",VLOOKUP($A168,'Annex 2 Designated EHV charges'!$D:$P,11,FALSE)),"")</f>
        <v/>
      </c>
      <c r="G168" s="63" t="str">
        <f>IFERROR(IF(VLOOKUP($A168,'Annex 2 Designated EHV charges'!$D:$P,12,FALSE)=0,"",VLOOKUP($A168,'Annex 2 Designated EHV charges'!$D:$P,12,FALSE)),"")</f>
        <v/>
      </c>
      <c r="H168" s="53" t="str">
        <f>IFERROR(IF(VLOOKUP($A168,'Annex 2 Designated EHV charges'!$D:$P,13,FALSE)=0,"",VLOOKUP($A168,'Annex 2 Designated EHV charges'!$D:$P,13,FALSE)),"")</f>
        <v/>
      </c>
    </row>
    <row r="169" spans="1:8" x14ac:dyDescent="0.2">
      <c r="A169" s="53" t="str">
        <f t="array" ref="A169">IFERROR(INDEX('Annex 2 Designated EHV charges'!$D$11:$D$58, MATCH(0, IF(ISBLANK('Annex 2 Designated EHV charges'!$D$11:$D$58),1, COUNTIF(A$4:$A168, 'Annex 2 Designated EHV charges'!$D$11:$D$58)), 0)),"")</f>
        <v/>
      </c>
      <c r="B169" s="53" t="str">
        <f>IF($A169="","",VLOOKUP($A169,'Annex 2 Designated EHV charges'!$D:$O,2,0))</f>
        <v/>
      </c>
      <c r="C169" s="61" t="str">
        <f>IF($A169="","",VLOOKUP($A169,'Annex 2 Designated EHV charges'!$D:$O,3,0))</f>
        <v/>
      </c>
      <c r="D169" s="61" t="str">
        <f>IF($A169="","",VLOOKUP($A169,'Annex 2 Designated EHV charges'!$D:$O,4,0))</f>
        <v/>
      </c>
      <c r="E169" s="62" t="str">
        <f>IFERROR(IF(VLOOKUP($A169,'Annex 2 Designated EHV charges'!$D:$P,10,FALSE)=0,"",VLOOKUP($A169,'Annex 2 Designated EHV charges'!$D:$P,10,FALSE)),"")</f>
        <v/>
      </c>
      <c r="F169" s="63" t="str">
        <f>IFERROR(IF(VLOOKUP($A169,'Annex 2 Designated EHV charges'!$D:$P,11,FALSE)=0,"",VLOOKUP($A169,'Annex 2 Designated EHV charges'!$D:$P,11,FALSE)),"")</f>
        <v/>
      </c>
      <c r="G169" s="63" t="str">
        <f>IFERROR(IF(VLOOKUP($A169,'Annex 2 Designated EHV charges'!$D:$P,12,FALSE)=0,"",VLOOKUP($A169,'Annex 2 Designated EHV charges'!$D:$P,12,FALSE)),"")</f>
        <v/>
      </c>
      <c r="H169" s="53" t="str">
        <f>IFERROR(IF(VLOOKUP($A169,'Annex 2 Designated EHV charges'!$D:$P,13,FALSE)=0,"",VLOOKUP($A169,'Annex 2 Designated EHV charges'!$D:$P,13,FALSE)),"")</f>
        <v/>
      </c>
    </row>
    <row r="170" spans="1:8" x14ac:dyDescent="0.2">
      <c r="A170" s="53" t="str">
        <f t="array" ref="A170">IFERROR(INDEX('Annex 2 Designated EHV charges'!$D$11:$D$58, MATCH(0, IF(ISBLANK('Annex 2 Designated EHV charges'!$D$11:$D$58),1, COUNTIF(A$4:$A169, 'Annex 2 Designated EHV charges'!$D$11:$D$58)), 0)),"")</f>
        <v/>
      </c>
      <c r="B170" s="53" t="str">
        <f>IF($A170="","",VLOOKUP($A170,'Annex 2 Designated EHV charges'!$D:$O,2,0))</f>
        <v/>
      </c>
      <c r="C170" s="61" t="str">
        <f>IF($A170="","",VLOOKUP($A170,'Annex 2 Designated EHV charges'!$D:$O,3,0))</f>
        <v/>
      </c>
      <c r="D170" s="61" t="str">
        <f>IF($A170="","",VLOOKUP($A170,'Annex 2 Designated EHV charges'!$D:$O,4,0))</f>
        <v/>
      </c>
      <c r="E170" s="62" t="str">
        <f>IFERROR(IF(VLOOKUP($A170,'Annex 2 Designated EHV charges'!$D:$P,10,FALSE)=0,"",VLOOKUP($A170,'Annex 2 Designated EHV charges'!$D:$P,10,FALSE)),"")</f>
        <v/>
      </c>
      <c r="F170" s="63" t="str">
        <f>IFERROR(IF(VLOOKUP($A170,'Annex 2 Designated EHV charges'!$D:$P,11,FALSE)=0,"",VLOOKUP($A170,'Annex 2 Designated EHV charges'!$D:$P,11,FALSE)),"")</f>
        <v/>
      </c>
      <c r="G170" s="63" t="str">
        <f>IFERROR(IF(VLOOKUP($A170,'Annex 2 Designated EHV charges'!$D:$P,12,FALSE)=0,"",VLOOKUP($A170,'Annex 2 Designated EHV charges'!$D:$P,12,FALSE)),"")</f>
        <v/>
      </c>
      <c r="H170" s="53" t="str">
        <f>IFERROR(IF(VLOOKUP($A170,'Annex 2 Designated EHV charges'!$D:$P,13,FALSE)=0,"",VLOOKUP($A170,'Annex 2 Designated EHV charges'!$D:$P,13,FALSE)),"")</f>
        <v/>
      </c>
    </row>
    <row r="171" spans="1:8" x14ac:dyDescent="0.2">
      <c r="A171" s="53" t="str">
        <f t="array" ref="A171">IFERROR(INDEX('Annex 2 Designated EHV charges'!$D$11:$D$58, MATCH(0, IF(ISBLANK('Annex 2 Designated EHV charges'!$D$11:$D$58),1, COUNTIF(A$4:$A170, 'Annex 2 Designated EHV charges'!$D$11:$D$58)), 0)),"")</f>
        <v/>
      </c>
      <c r="B171" s="53" t="str">
        <f>IF($A171="","",VLOOKUP($A171,'Annex 2 Designated EHV charges'!$D:$O,2,0))</f>
        <v/>
      </c>
      <c r="C171" s="61" t="str">
        <f>IF($A171="","",VLOOKUP($A171,'Annex 2 Designated EHV charges'!$D:$O,3,0))</f>
        <v/>
      </c>
      <c r="D171" s="61" t="str">
        <f>IF($A171="","",VLOOKUP($A171,'Annex 2 Designated EHV charges'!$D:$O,4,0))</f>
        <v/>
      </c>
      <c r="E171" s="62" t="str">
        <f>IFERROR(IF(VLOOKUP($A171,'Annex 2 Designated EHV charges'!$D:$P,10,FALSE)=0,"",VLOOKUP($A171,'Annex 2 Designated EHV charges'!$D:$P,10,FALSE)),"")</f>
        <v/>
      </c>
      <c r="F171" s="63" t="str">
        <f>IFERROR(IF(VLOOKUP($A171,'Annex 2 Designated EHV charges'!$D:$P,11,FALSE)=0,"",VLOOKUP($A171,'Annex 2 Designated EHV charges'!$D:$P,11,FALSE)),"")</f>
        <v/>
      </c>
      <c r="G171" s="63" t="str">
        <f>IFERROR(IF(VLOOKUP($A171,'Annex 2 Designated EHV charges'!$D:$P,12,FALSE)=0,"",VLOOKUP($A171,'Annex 2 Designated EHV charges'!$D:$P,12,FALSE)),"")</f>
        <v/>
      </c>
      <c r="H171" s="53" t="str">
        <f>IFERROR(IF(VLOOKUP($A171,'Annex 2 Designated EHV charges'!$D:$P,13,FALSE)=0,"",VLOOKUP($A171,'Annex 2 Designated EHV charges'!$D:$P,13,FALSE)),"")</f>
        <v/>
      </c>
    </row>
    <row r="172" spans="1:8" x14ac:dyDescent="0.2">
      <c r="A172" s="53" t="str">
        <f t="array" ref="A172">IFERROR(INDEX('Annex 2 Designated EHV charges'!$D$11:$D$58, MATCH(0, IF(ISBLANK('Annex 2 Designated EHV charges'!$D$11:$D$58),1, COUNTIF(A$4:$A171, 'Annex 2 Designated EHV charges'!$D$11:$D$58)), 0)),"")</f>
        <v/>
      </c>
      <c r="B172" s="53" t="str">
        <f>IF($A172="","",VLOOKUP($A172,'Annex 2 Designated EHV charges'!$D:$O,2,0))</f>
        <v/>
      </c>
      <c r="C172" s="61" t="str">
        <f>IF($A172="","",VLOOKUP($A172,'Annex 2 Designated EHV charges'!$D:$O,3,0))</f>
        <v/>
      </c>
      <c r="D172" s="61" t="str">
        <f>IF($A172="","",VLOOKUP($A172,'Annex 2 Designated EHV charges'!$D:$O,4,0))</f>
        <v/>
      </c>
      <c r="E172" s="62" t="str">
        <f>IFERROR(IF(VLOOKUP($A172,'Annex 2 Designated EHV charges'!$D:$P,10,FALSE)=0,"",VLOOKUP($A172,'Annex 2 Designated EHV charges'!$D:$P,10,FALSE)),"")</f>
        <v/>
      </c>
      <c r="F172" s="63" t="str">
        <f>IFERROR(IF(VLOOKUP($A172,'Annex 2 Designated EHV charges'!$D:$P,11,FALSE)=0,"",VLOOKUP($A172,'Annex 2 Designated EHV charges'!$D:$P,11,FALSE)),"")</f>
        <v/>
      </c>
      <c r="G172" s="63" t="str">
        <f>IFERROR(IF(VLOOKUP($A172,'Annex 2 Designated EHV charges'!$D:$P,12,FALSE)=0,"",VLOOKUP($A172,'Annex 2 Designated EHV charges'!$D:$P,12,FALSE)),"")</f>
        <v/>
      </c>
      <c r="H172" s="53" t="str">
        <f>IFERROR(IF(VLOOKUP($A172,'Annex 2 Designated EHV charges'!$D:$P,13,FALSE)=0,"",VLOOKUP($A172,'Annex 2 Designated EHV charges'!$D:$P,13,FALSE)),"")</f>
        <v/>
      </c>
    </row>
    <row r="173" spans="1:8" x14ac:dyDescent="0.2">
      <c r="A173" s="53" t="str">
        <f t="array" ref="A173">IFERROR(INDEX('Annex 2 Designated EHV charges'!$D$11:$D$58, MATCH(0, IF(ISBLANK('Annex 2 Designated EHV charges'!$D$11:$D$58),1, COUNTIF(A$4:$A172, 'Annex 2 Designated EHV charges'!$D$11:$D$58)), 0)),"")</f>
        <v/>
      </c>
      <c r="B173" s="53" t="str">
        <f>IF($A173="","",VLOOKUP($A173,'Annex 2 Designated EHV charges'!$D:$O,2,0))</f>
        <v/>
      </c>
      <c r="C173" s="61" t="str">
        <f>IF($A173="","",VLOOKUP($A173,'Annex 2 Designated EHV charges'!$D:$O,3,0))</f>
        <v/>
      </c>
      <c r="D173" s="61" t="str">
        <f>IF($A173="","",VLOOKUP($A173,'Annex 2 Designated EHV charges'!$D:$O,4,0))</f>
        <v/>
      </c>
      <c r="E173" s="62" t="str">
        <f>IFERROR(IF(VLOOKUP($A173,'Annex 2 Designated EHV charges'!$D:$P,10,FALSE)=0,"",VLOOKUP($A173,'Annex 2 Designated EHV charges'!$D:$P,10,FALSE)),"")</f>
        <v/>
      </c>
      <c r="F173" s="63" t="str">
        <f>IFERROR(IF(VLOOKUP($A173,'Annex 2 Designated EHV charges'!$D:$P,11,FALSE)=0,"",VLOOKUP($A173,'Annex 2 Designated EHV charges'!$D:$P,11,FALSE)),"")</f>
        <v/>
      </c>
      <c r="G173" s="63" t="str">
        <f>IFERROR(IF(VLOOKUP($A173,'Annex 2 Designated EHV charges'!$D:$P,12,FALSE)=0,"",VLOOKUP($A173,'Annex 2 Designated EHV charges'!$D:$P,12,FALSE)),"")</f>
        <v/>
      </c>
      <c r="H173" s="53" t="str">
        <f>IFERROR(IF(VLOOKUP($A173,'Annex 2 Designated EHV charges'!$D:$P,13,FALSE)=0,"",VLOOKUP($A173,'Annex 2 Designated EHV charges'!$D:$P,13,FALSE)),"")</f>
        <v/>
      </c>
    </row>
    <row r="174" spans="1:8" x14ac:dyDescent="0.2">
      <c r="A174" s="53" t="str">
        <f t="array" ref="A174">IFERROR(INDEX('Annex 2 Designated EHV charges'!$D$11:$D$58, MATCH(0, IF(ISBLANK('Annex 2 Designated EHV charges'!$D$11:$D$58),1, COUNTIF(A$4:$A173, 'Annex 2 Designated EHV charges'!$D$11:$D$58)), 0)),"")</f>
        <v/>
      </c>
      <c r="B174" s="53" t="str">
        <f>IF($A174="","",VLOOKUP($A174,'Annex 2 Designated EHV charges'!$D:$O,2,0))</f>
        <v/>
      </c>
      <c r="C174" s="61" t="str">
        <f>IF($A174="","",VLOOKUP($A174,'Annex 2 Designated EHV charges'!$D:$O,3,0))</f>
        <v/>
      </c>
      <c r="D174" s="61" t="str">
        <f>IF($A174="","",VLOOKUP($A174,'Annex 2 Designated EHV charges'!$D:$O,4,0))</f>
        <v/>
      </c>
      <c r="E174" s="62" t="str">
        <f>IFERROR(IF(VLOOKUP($A174,'Annex 2 Designated EHV charges'!$D:$P,10,FALSE)=0,"",VLOOKUP($A174,'Annex 2 Designated EHV charges'!$D:$P,10,FALSE)),"")</f>
        <v/>
      </c>
      <c r="F174" s="63" t="str">
        <f>IFERROR(IF(VLOOKUP($A174,'Annex 2 Designated EHV charges'!$D:$P,11,FALSE)=0,"",VLOOKUP($A174,'Annex 2 Designated EHV charges'!$D:$P,11,FALSE)),"")</f>
        <v/>
      </c>
      <c r="G174" s="63" t="str">
        <f>IFERROR(IF(VLOOKUP($A174,'Annex 2 Designated EHV charges'!$D:$P,12,FALSE)=0,"",VLOOKUP($A174,'Annex 2 Designated EHV charges'!$D:$P,12,FALSE)),"")</f>
        <v/>
      </c>
      <c r="H174" s="53" t="str">
        <f>IFERROR(IF(VLOOKUP($A174,'Annex 2 Designated EHV charges'!$D:$P,13,FALSE)=0,"",VLOOKUP($A174,'Annex 2 Designated EHV charges'!$D:$P,13,FALSE)),"")</f>
        <v/>
      </c>
    </row>
    <row r="175" spans="1:8" x14ac:dyDescent="0.2">
      <c r="A175" s="53" t="str">
        <f t="array" ref="A175">IFERROR(INDEX('Annex 2 Designated EHV charges'!$D$11:$D$58, MATCH(0, IF(ISBLANK('Annex 2 Designated EHV charges'!$D$11:$D$58),1, COUNTIF(A$4:$A174, 'Annex 2 Designated EHV charges'!$D$11:$D$58)), 0)),"")</f>
        <v/>
      </c>
      <c r="B175" s="53" t="str">
        <f>IF($A175="","",VLOOKUP($A175,'Annex 2 Designated EHV charges'!$D:$O,2,0))</f>
        <v/>
      </c>
      <c r="C175" s="61" t="str">
        <f>IF($A175="","",VLOOKUP($A175,'Annex 2 Designated EHV charges'!$D:$O,3,0))</f>
        <v/>
      </c>
      <c r="D175" s="61" t="str">
        <f>IF($A175="","",VLOOKUP($A175,'Annex 2 Designated EHV charges'!$D:$O,4,0))</f>
        <v/>
      </c>
      <c r="E175" s="62" t="str">
        <f>IFERROR(IF(VLOOKUP($A175,'Annex 2 Designated EHV charges'!$D:$P,10,FALSE)=0,"",VLOOKUP($A175,'Annex 2 Designated EHV charges'!$D:$P,10,FALSE)),"")</f>
        <v/>
      </c>
      <c r="F175" s="63" t="str">
        <f>IFERROR(IF(VLOOKUP($A175,'Annex 2 Designated EHV charges'!$D:$P,11,FALSE)=0,"",VLOOKUP($A175,'Annex 2 Designated EHV charges'!$D:$P,11,FALSE)),"")</f>
        <v/>
      </c>
      <c r="G175" s="63" t="str">
        <f>IFERROR(IF(VLOOKUP($A175,'Annex 2 Designated EHV charges'!$D:$P,12,FALSE)=0,"",VLOOKUP($A175,'Annex 2 Designated EHV charges'!$D:$P,12,FALSE)),"")</f>
        <v/>
      </c>
      <c r="H175" s="53" t="str">
        <f>IFERROR(IF(VLOOKUP($A175,'Annex 2 Designated EHV charges'!$D:$P,13,FALSE)=0,"",VLOOKUP($A175,'Annex 2 Designated EHV charges'!$D:$P,13,FALSE)),"")</f>
        <v/>
      </c>
    </row>
    <row r="176" spans="1:8" x14ac:dyDescent="0.2">
      <c r="A176" s="53" t="str">
        <f t="array" ref="A176">IFERROR(INDEX('Annex 2 Designated EHV charges'!$D$11:$D$58, MATCH(0, IF(ISBLANK('Annex 2 Designated EHV charges'!$D$11:$D$58),1, COUNTIF(A$4:$A175, 'Annex 2 Designated EHV charges'!$D$11:$D$58)), 0)),"")</f>
        <v/>
      </c>
      <c r="B176" s="53" t="str">
        <f>IF($A176="","",VLOOKUP($A176,'Annex 2 Designated EHV charges'!$D:$O,2,0))</f>
        <v/>
      </c>
      <c r="C176" s="61" t="str">
        <f>IF($A176="","",VLOOKUP($A176,'Annex 2 Designated EHV charges'!$D:$O,3,0))</f>
        <v/>
      </c>
      <c r="D176" s="61" t="str">
        <f>IF($A176="","",VLOOKUP($A176,'Annex 2 Designated EHV charges'!$D:$O,4,0))</f>
        <v/>
      </c>
      <c r="E176" s="62" t="str">
        <f>IFERROR(IF(VLOOKUP($A176,'Annex 2 Designated EHV charges'!$D:$P,10,FALSE)=0,"",VLOOKUP($A176,'Annex 2 Designated EHV charges'!$D:$P,10,FALSE)),"")</f>
        <v/>
      </c>
      <c r="F176" s="63" t="str">
        <f>IFERROR(IF(VLOOKUP($A176,'Annex 2 Designated EHV charges'!$D:$P,11,FALSE)=0,"",VLOOKUP($A176,'Annex 2 Designated EHV charges'!$D:$P,11,FALSE)),"")</f>
        <v/>
      </c>
      <c r="G176" s="63" t="str">
        <f>IFERROR(IF(VLOOKUP($A176,'Annex 2 Designated EHV charges'!$D:$P,12,FALSE)=0,"",VLOOKUP($A176,'Annex 2 Designated EHV charges'!$D:$P,12,FALSE)),"")</f>
        <v/>
      </c>
      <c r="H176" s="53" t="str">
        <f>IFERROR(IF(VLOOKUP($A176,'Annex 2 Designated EHV charges'!$D:$P,13,FALSE)=0,"",VLOOKUP($A176,'Annex 2 Designated EHV charges'!$D:$P,13,FALSE)),"")</f>
        <v/>
      </c>
    </row>
    <row r="177" spans="1:8" x14ac:dyDescent="0.2">
      <c r="A177" s="53" t="str">
        <f t="array" ref="A177">IFERROR(INDEX('Annex 2 Designated EHV charges'!$D$11:$D$58, MATCH(0, IF(ISBLANK('Annex 2 Designated EHV charges'!$D$11:$D$58),1, COUNTIF(A$4:$A176, 'Annex 2 Designated EHV charges'!$D$11:$D$58)), 0)),"")</f>
        <v/>
      </c>
      <c r="B177" s="53" t="str">
        <f>IF($A177="","",VLOOKUP($A177,'Annex 2 Designated EHV charges'!$D:$O,2,0))</f>
        <v/>
      </c>
      <c r="C177" s="61" t="str">
        <f>IF($A177="","",VLOOKUP($A177,'Annex 2 Designated EHV charges'!$D:$O,3,0))</f>
        <v/>
      </c>
      <c r="D177" s="61" t="str">
        <f>IF($A177="","",VLOOKUP($A177,'Annex 2 Designated EHV charges'!$D:$O,4,0))</f>
        <v/>
      </c>
      <c r="E177" s="62" t="str">
        <f>IFERROR(IF(VLOOKUP($A177,'Annex 2 Designated EHV charges'!$D:$P,10,FALSE)=0,"",VLOOKUP($A177,'Annex 2 Designated EHV charges'!$D:$P,10,FALSE)),"")</f>
        <v/>
      </c>
      <c r="F177" s="63" t="str">
        <f>IFERROR(IF(VLOOKUP($A177,'Annex 2 Designated EHV charges'!$D:$P,11,FALSE)=0,"",VLOOKUP($A177,'Annex 2 Designated EHV charges'!$D:$P,11,FALSE)),"")</f>
        <v/>
      </c>
      <c r="G177" s="63" t="str">
        <f>IFERROR(IF(VLOOKUP($A177,'Annex 2 Designated EHV charges'!$D:$P,12,FALSE)=0,"",VLOOKUP($A177,'Annex 2 Designated EHV charges'!$D:$P,12,FALSE)),"")</f>
        <v/>
      </c>
      <c r="H177" s="53" t="str">
        <f>IFERROR(IF(VLOOKUP($A177,'Annex 2 Designated EHV charges'!$D:$P,13,FALSE)=0,"",VLOOKUP($A177,'Annex 2 Designated EHV charges'!$D:$P,13,FALSE)),"")</f>
        <v/>
      </c>
    </row>
    <row r="178" spans="1:8" x14ac:dyDescent="0.2">
      <c r="A178" s="53" t="str">
        <f t="array" ref="A178">IFERROR(INDEX('Annex 2 Designated EHV charges'!$D$11:$D$58, MATCH(0, IF(ISBLANK('Annex 2 Designated EHV charges'!$D$11:$D$58),1, COUNTIF(A$4:$A177, 'Annex 2 Designated EHV charges'!$D$11:$D$58)), 0)),"")</f>
        <v/>
      </c>
      <c r="B178" s="53" t="str">
        <f>IF($A178="","",VLOOKUP($A178,'Annex 2 Designated EHV charges'!$D:$O,2,0))</f>
        <v/>
      </c>
      <c r="C178" s="61" t="str">
        <f>IF($A178="","",VLOOKUP($A178,'Annex 2 Designated EHV charges'!$D:$O,3,0))</f>
        <v/>
      </c>
      <c r="D178" s="61" t="str">
        <f>IF($A178="","",VLOOKUP($A178,'Annex 2 Designated EHV charges'!$D:$O,4,0))</f>
        <v/>
      </c>
      <c r="E178" s="62" t="str">
        <f>IFERROR(IF(VLOOKUP($A178,'Annex 2 Designated EHV charges'!$D:$P,10,FALSE)=0,"",VLOOKUP($A178,'Annex 2 Designated EHV charges'!$D:$P,10,FALSE)),"")</f>
        <v/>
      </c>
      <c r="F178" s="63" t="str">
        <f>IFERROR(IF(VLOOKUP($A178,'Annex 2 Designated EHV charges'!$D:$P,11,FALSE)=0,"",VLOOKUP($A178,'Annex 2 Designated EHV charges'!$D:$P,11,FALSE)),"")</f>
        <v/>
      </c>
      <c r="G178" s="63" t="str">
        <f>IFERROR(IF(VLOOKUP($A178,'Annex 2 Designated EHV charges'!$D:$P,12,FALSE)=0,"",VLOOKUP($A178,'Annex 2 Designated EHV charges'!$D:$P,12,FALSE)),"")</f>
        <v/>
      </c>
      <c r="H178" s="53" t="str">
        <f>IFERROR(IF(VLOOKUP($A178,'Annex 2 Designated EHV charges'!$D:$P,13,FALSE)=0,"",VLOOKUP($A178,'Annex 2 Designated EHV charges'!$D:$P,13,FALSE)),"")</f>
        <v/>
      </c>
    </row>
    <row r="179" spans="1:8" x14ac:dyDescent="0.2">
      <c r="A179" s="53" t="str">
        <f t="array" ref="A179">IFERROR(INDEX('Annex 2 Designated EHV charges'!$D$11:$D$58, MATCH(0, IF(ISBLANK('Annex 2 Designated EHV charges'!$D$11:$D$58),1, COUNTIF(A$4:$A178, 'Annex 2 Designated EHV charges'!$D$11:$D$58)), 0)),"")</f>
        <v/>
      </c>
      <c r="B179" s="53" t="str">
        <f>IF($A179="","",VLOOKUP($A179,'Annex 2 Designated EHV charges'!$D:$O,2,0))</f>
        <v/>
      </c>
      <c r="C179" s="61" t="str">
        <f>IF($A179="","",VLOOKUP($A179,'Annex 2 Designated EHV charges'!$D:$O,3,0))</f>
        <v/>
      </c>
      <c r="D179" s="61" t="str">
        <f>IF($A179="","",VLOOKUP($A179,'Annex 2 Designated EHV charges'!$D:$O,4,0))</f>
        <v/>
      </c>
      <c r="E179" s="62" t="str">
        <f>IFERROR(IF(VLOOKUP($A179,'Annex 2 Designated EHV charges'!$D:$P,10,FALSE)=0,"",VLOOKUP($A179,'Annex 2 Designated EHV charges'!$D:$P,10,FALSE)),"")</f>
        <v/>
      </c>
      <c r="F179" s="63" t="str">
        <f>IFERROR(IF(VLOOKUP($A179,'Annex 2 Designated EHV charges'!$D:$P,11,FALSE)=0,"",VLOOKUP($A179,'Annex 2 Designated EHV charges'!$D:$P,11,FALSE)),"")</f>
        <v/>
      </c>
      <c r="G179" s="63" t="str">
        <f>IFERROR(IF(VLOOKUP($A179,'Annex 2 Designated EHV charges'!$D:$P,12,FALSE)=0,"",VLOOKUP($A179,'Annex 2 Designated EHV charges'!$D:$P,12,FALSE)),"")</f>
        <v/>
      </c>
      <c r="H179" s="53" t="str">
        <f>IFERROR(IF(VLOOKUP($A179,'Annex 2 Designated EHV charges'!$D:$P,13,FALSE)=0,"",VLOOKUP($A179,'Annex 2 Designated EHV charges'!$D:$P,13,FALSE)),"")</f>
        <v/>
      </c>
    </row>
    <row r="180" spans="1:8" x14ac:dyDescent="0.2">
      <c r="A180" s="53" t="str">
        <f t="array" ref="A180">IFERROR(INDEX('Annex 2 Designated EHV charges'!$D$11:$D$58, MATCH(0, IF(ISBLANK('Annex 2 Designated EHV charges'!$D$11:$D$58),1, COUNTIF(A$4:$A179, 'Annex 2 Designated EHV charges'!$D$11:$D$58)), 0)),"")</f>
        <v/>
      </c>
      <c r="B180" s="53" t="str">
        <f>IF($A180="","",VLOOKUP($A180,'Annex 2 Designated EHV charges'!$D:$O,2,0))</f>
        <v/>
      </c>
      <c r="C180" s="61" t="str">
        <f>IF($A180="","",VLOOKUP($A180,'Annex 2 Designated EHV charges'!$D:$O,3,0))</f>
        <v/>
      </c>
      <c r="D180" s="61" t="str">
        <f>IF($A180="","",VLOOKUP($A180,'Annex 2 Designated EHV charges'!$D:$O,4,0))</f>
        <v/>
      </c>
      <c r="E180" s="62" t="str">
        <f>IFERROR(IF(VLOOKUP($A180,'Annex 2 Designated EHV charges'!$D:$P,10,FALSE)=0,"",VLOOKUP($A180,'Annex 2 Designated EHV charges'!$D:$P,10,FALSE)),"")</f>
        <v/>
      </c>
      <c r="F180" s="63" t="str">
        <f>IFERROR(IF(VLOOKUP($A180,'Annex 2 Designated EHV charges'!$D:$P,11,FALSE)=0,"",VLOOKUP($A180,'Annex 2 Designated EHV charges'!$D:$P,11,FALSE)),"")</f>
        <v/>
      </c>
      <c r="G180" s="63" t="str">
        <f>IFERROR(IF(VLOOKUP($A180,'Annex 2 Designated EHV charges'!$D:$P,12,FALSE)=0,"",VLOOKUP($A180,'Annex 2 Designated EHV charges'!$D:$P,12,FALSE)),"")</f>
        <v/>
      </c>
      <c r="H180" s="53" t="str">
        <f>IFERROR(IF(VLOOKUP($A180,'Annex 2 Designated EHV charges'!$D:$P,13,FALSE)=0,"",VLOOKUP($A180,'Annex 2 Designated EHV charges'!$D:$P,13,FALSE)),"")</f>
        <v/>
      </c>
    </row>
    <row r="181" spans="1:8" x14ac:dyDescent="0.2">
      <c r="A181" s="53" t="str">
        <f t="array" ref="A181">IFERROR(INDEX('Annex 2 Designated EHV charges'!$D$11:$D$58, MATCH(0, IF(ISBLANK('Annex 2 Designated EHV charges'!$D$11:$D$58),1, COUNTIF(A$4:$A180, 'Annex 2 Designated EHV charges'!$D$11:$D$58)), 0)),"")</f>
        <v/>
      </c>
      <c r="B181" s="53" t="str">
        <f>IF($A181="","",VLOOKUP($A181,'Annex 2 Designated EHV charges'!$D:$O,2,0))</f>
        <v/>
      </c>
      <c r="C181" s="61" t="str">
        <f>IF($A181="","",VLOOKUP($A181,'Annex 2 Designated EHV charges'!$D:$O,3,0))</f>
        <v/>
      </c>
      <c r="D181" s="61" t="str">
        <f>IF($A181="","",VLOOKUP($A181,'Annex 2 Designated EHV charges'!$D:$O,4,0))</f>
        <v/>
      </c>
      <c r="E181" s="62" t="str">
        <f>IFERROR(IF(VLOOKUP($A181,'Annex 2 Designated EHV charges'!$D:$P,10,FALSE)=0,"",VLOOKUP($A181,'Annex 2 Designated EHV charges'!$D:$P,10,FALSE)),"")</f>
        <v/>
      </c>
      <c r="F181" s="63" t="str">
        <f>IFERROR(IF(VLOOKUP($A181,'Annex 2 Designated EHV charges'!$D:$P,11,FALSE)=0,"",VLOOKUP($A181,'Annex 2 Designated EHV charges'!$D:$P,11,FALSE)),"")</f>
        <v/>
      </c>
      <c r="G181" s="63" t="str">
        <f>IFERROR(IF(VLOOKUP($A181,'Annex 2 Designated EHV charges'!$D:$P,12,FALSE)=0,"",VLOOKUP($A181,'Annex 2 Designated EHV charges'!$D:$P,12,FALSE)),"")</f>
        <v/>
      </c>
      <c r="H181" s="53" t="str">
        <f>IFERROR(IF(VLOOKUP($A181,'Annex 2 Designated EHV charges'!$D:$P,13,FALSE)=0,"",VLOOKUP($A181,'Annex 2 Designated EHV charges'!$D:$P,13,FALSE)),"")</f>
        <v/>
      </c>
    </row>
    <row r="182" spans="1:8" x14ac:dyDescent="0.2">
      <c r="A182" s="53" t="str">
        <f t="array" ref="A182">IFERROR(INDEX('Annex 2 Designated EHV charges'!$D$11:$D$58, MATCH(0, IF(ISBLANK('Annex 2 Designated EHV charges'!$D$11:$D$58),1, COUNTIF(A$4:$A181, 'Annex 2 Designated EHV charges'!$D$11:$D$58)), 0)),"")</f>
        <v/>
      </c>
      <c r="B182" s="53" t="str">
        <f>IF($A182="","",VLOOKUP($A182,'Annex 2 Designated EHV charges'!$D:$O,2,0))</f>
        <v/>
      </c>
      <c r="C182" s="61" t="str">
        <f>IF($A182="","",VLOOKUP($A182,'Annex 2 Designated EHV charges'!$D:$O,3,0))</f>
        <v/>
      </c>
      <c r="D182" s="61" t="str">
        <f>IF($A182="","",VLOOKUP($A182,'Annex 2 Designated EHV charges'!$D:$O,4,0))</f>
        <v/>
      </c>
      <c r="E182" s="62" t="str">
        <f>IFERROR(IF(VLOOKUP($A182,'Annex 2 Designated EHV charges'!$D:$P,10,FALSE)=0,"",VLOOKUP($A182,'Annex 2 Designated EHV charges'!$D:$P,10,FALSE)),"")</f>
        <v/>
      </c>
      <c r="F182" s="63" t="str">
        <f>IFERROR(IF(VLOOKUP($A182,'Annex 2 Designated EHV charges'!$D:$P,11,FALSE)=0,"",VLOOKUP($A182,'Annex 2 Designated EHV charges'!$D:$P,11,FALSE)),"")</f>
        <v/>
      </c>
      <c r="G182" s="63" t="str">
        <f>IFERROR(IF(VLOOKUP($A182,'Annex 2 Designated EHV charges'!$D:$P,12,FALSE)=0,"",VLOOKUP($A182,'Annex 2 Designated EHV charges'!$D:$P,12,FALSE)),"")</f>
        <v/>
      </c>
      <c r="H182" s="53" t="str">
        <f>IFERROR(IF(VLOOKUP($A182,'Annex 2 Designated EHV charges'!$D:$P,13,FALSE)=0,"",VLOOKUP($A182,'Annex 2 Designated EHV charges'!$D:$P,13,FALSE)),"")</f>
        <v/>
      </c>
    </row>
    <row r="183" spans="1:8" x14ac:dyDescent="0.2">
      <c r="A183" s="53" t="str">
        <f t="array" ref="A183">IFERROR(INDEX('Annex 2 Designated EHV charges'!$D$11:$D$58, MATCH(0, IF(ISBLANK('Annex 2 Designated EHV charges'!$D$11:$D$58),1, COUNTIF(A$4:$A182, 'Annex 2 Designated EHV charges'!$D$11:$D$58)), 0)),"")</f>
        <v/>
      </c>
      <c r="B183" s="53" t="str">
        <f>IF($A183="","",VLOOKUP($A183,'Annex 2 Designated EHV charges'!$D:$O,2,0))</f>
        <v/>
      </c>
      <c r="C183" s="61" t="str">
        <f>IF($A183="","",VLOOKUP($A183,'Annex 2 Designated EHV charges'!$D:$O,3,0))</f>
        <v/>
      </c>
      <c r="D183" s="61" t="str">
        <f>IF($A183="","",VLOOKUP($A183,'Annex 2 Designated EHV charges'!$D:$O,4,0))</f>
        <v/>
      </c>
      <c r="E183" s="62" t="str">
        <f>IFERROR(IF(VLOOKUP($A183,'Annex 2 Designated EHV charges'!$D:$P,10,FALSE)=0,"",VLOOKUP($A183,'Annex 2 Designated EHV charges'!$D:$P,10,FALSE)),"")</f>
        <v/>
      </c>
      <c r="F183" s="63" t="str">
        <f>IFERROR(IF(VLOOKUP($A183,'Annex 2 Designated EHV charges'!$D:$P,11,FALSE)=0,"",VLOOKUP($A183,'Annex 2 Designated EHV charges'!$D:$P,11,FALSE)),"")</f>
        <v/>
      </c>
      <c r="G183" s="63" t="str">
        <f>IFERROR(IF(VLOOKUP($A183,'Annex 2 Designated EHV charges'!$D:$P,12,FALSE)=0,"",VLOOKUP($A183,'Annex 2 Designated EHV charges'!$D:$P,12,FALSE)),"")</f>
        <v/>
      </c>
      <c r="H183" s="53" t="str">
        <f>IFERROR(IF(VLOOKUP($A183,'Annex 2 Designated EHV charges'!$D:$P,13,FALSE)=0,"",VLOOKUP($A183,'Annex 2 Designated EHV charges'!$D:$P,13,FALSE)),"")</f>
        <v/>
      </c>
    </row>
    <row r="184" spans="1:8" x14ac:dyDescent="0.2">
      <c r="A184" s="53" t="str">
        <f t="array" ref="A184">IFERROR(INDEX('Annex 2 Designated EHV charges'!$D$11:$D$58, MATCH(0, IF(ISBLANK('Annex 2 Designated EHV charges'!$D$11:$D$58),1, COUNTIF(A$4:$A183, 'Annex 2 Designated EHV charges'!$D$11:$D$58)), 0)),"")</f>
        <v/>
      </c>
      <c r="B184" s="53" t="str">
        <f>IF($A184="","",VLOOKUP($A184,'Annex 2 Designated EHV charges'!$D:$O,2,0))</f>
        <v/>
      </c>
      <c r="C184" s="61" t="str">
        <f>IF($A184="","",VLOOKUP($A184,'Annex 2 Designated EHV charges'!$D:$O,3,0))</f>
        <v/>
      </c>
      <c r="D184" s="61" t="str">
        <f>IF($A184="","",VLOOKUP($A184,'Annex 2 Designated EHV charges'!$D:$O,4,0))</f>
        <v/>
      </c>
      <c r="E184" s="62" t="str">
        <f>IFERROR(IF(VLOOKUP($A184,'Annex 2 Designated EHV charges'!$D:$P,10,FALSE)=0,"",VLOOKUP($A184,'Annex 2 Designated EHV charges'!$D:$P,10,FALSE)),"")</f>
        <v/>
      </c>
      <c r="F184" s="63" t="str">
        <f>IFERROR(IF(VLOOKUP($A184,'Annex 2 Designated EHV charges'!$D:$P,11,FALSE)=0,"",VLOOKUP($A184,'Annex 2 Designated EHV charges'!$D:$P,11,FALSE)),"")</f>
        <v/>
      </c>
      <c r="G184" s="63" t="str">
        <f>IFERROR(IF(VLOOKUP($A184,'Annex 2 Designated EHV charges'!$D:$P,12,FALSE)=0,"",VLOOKUP($A184,'Annex 2 Designated EHV charges'!$D:$P,12,FALSE)),"")</f>
        <v/>
      </c>
      <c r="H184" s="53" t="str">
        <f>IFERROR(IF(VLOOKUP($A184,'Annex 2 Designated EHV charges'!$D:$P,13,FALSE)=0,"",VLOOKUP($A184,'Annex 2 Designated EHV charges'!$D:$P,13,FALSE)),"")</f>
        <v/>
      </c>
    </row>
    <row r="185" spans="1:8" x14ac:dyDescent="0.2">
      <c r="A185" s="53" t="str">
        <f t="array" ref="A185">IFERROR(INDEX('Annex 2 Designated EHV charges'!$D$11:$D$58, MATCH(0, IF(ISBLANK('Annex 2 Designated EHV charges'!$D$11:$D$58),1, COUNTIF(A$4:$A184, 'Annex 2 Designated EHV charges'!$D$11:$D$58)), 0)),"")</f>
        <v/>
      </c>
      <c r="B185" s="53" t="str">
        <f>IF($A185="","",VLOOKUP($A185,'Annex 2 Designated EHV charges'!$D:$O,2,0))</f>
        <v/>
      </c>
      <c r="C185" s="61" t="str">
        <f>IF($A185="","",VLOOKUP($A185,'Annex 2 Designated EHV charges'!$D:$O,3,0))</f>
        <v/>
      </c>
      <c r="D185" s="61" t="str">
        <f>IF($A185="","",VLOOKUP($A185,'Annex 2 Designated EHV charges'!$D:$O,4,0))</f>
        <v/>
      </c>
      <c r="E185" s="62" t="str">
        <f>IFERROR(IF(VLOOKUP($A185,'Annex 2 Designated EHV charges'!$D:$P,10,FALSE)=0,"",VLOOKUP($A185,'Annex 2 Designated EHV charges'!$D:$P,10,FALSE)),"")</f>
        <v/>
      </c>
      <c r="F185" s="63" t="str">
        <f>IFERROR(IF(VLOOKUP($A185,'Annex 2 Designated EHV charges'!$D:$P,11,FALSE)=0,"",VLOOKUP($A185,'Annex 2 Designated EHV charges'!$D:$P,11,FALSE)),"")</f>
        <v/>
      </c>
      <c r="G185" s="63" t="str">
        <f>IFERROR(IF(VLOOKUP($A185,'Annex 2 Designated EHV charges'!$D:$P,12,FALSE)=0,"",VLOOKUP($A185,'Annex 2 Designated EHV charges'!$D:$P,12,FALSE)),"")</f>
        <v/>
      </c>
      <c r="H185" s="53" t="str">
        <f>IFERROR(IF(VLOOKUP($A185,'Annex 2 Designated EHV charges'!$D:$P,13,FALSE)=0,"",VLOOKUP($A185,'Annex 2 Designated EHV charges'!$D:$P,13,FALSE)),"")</f>
        <v/>
      </c>
    </row>
    <row r="186" spans="1:8" x14ac:dyDescent="0.2">
      <c r="A186" s="53" t="str">
        <f t="array" ref="A186">IFERROR(INDEX('Annex 2 Designated EHV charges'!$D$11:$D$58, MATCH(0, IF(ISBLANK('Annex 2 Designated EHV charges'!$D$11:$D$58),1, COUNTIF(A$4:$A185, 'Annex 2 Designated EHV charges'!$D$11:$D$58)), 0)),"")</f>
        <v/>
      </c>
      <c r="B186" s="53" t="str">
        <f>IF($A186="","",VLOOKUP($A186,'Annex 2 Designated EHV charges'!$D:$O,2,0))</f>
        <v/>
      </c>
      <c r="C186" s="61" t="str">
        <f>IF($A186="","",VLOOKUP($A186,'Annex 2 Designated EHV charges'!$D:$O,3,0))</f>
        <v/>
      </c>
      <c r="D186" s="61" t="str">
        <f>IF($A186="","",VLOOKUP($A186,'Annex 2 Designated EHV charges'!$D:$O,4,0))</f>
        <v/>
      </c>
      <c r="E186" s="62" t="str">
        <f>IFERROR(IF(VLOOKUP($A186,'Annex 2 Designated EHV charges'!$D:$P,10,FALSE)=0,"",VLOOKUP($A186,'Annex 2 Designated EHV charges'!$D:$P,10,FALSE)),"")</f>
        <v/>
      </c>
      <c r="F186" s="63" t="str">
        <f>IFERROR(IF(VLOOKUP($A186,'Annex 2 Designated EHV charges'!$D:$P,11,FALSE)=0,"",VLOOKUP($A186,'Annex 2 Designated EHV charges'!$D:$P,11,FALSE)),"")</f>
        <v/>
      </c>
      <c r="G186" s="63" t="str">
        <f>IFERROR(IF(VLOOKUP($A186,'Annex 2 Designated EHV charges'!$D:$P,12,FALSE)=0,"",VLOOKUP($A186,'Annex 2 Designated EHV charges'!$D:$P,12,FALSE)),"")</f>
        <v/>
      </c>
      <c r="H186" s="53" t="str">
        <f>IFERROR(IF(VLOOKUP($A186,'Annex 2 Designated EHV charges'!$D:$P,13,FALSE)=0,"",VLOOKUP($A186,'Annex 2 Designated EHV charges'!$D:$P,13,FALSE)),"")</f>
        <v/>
      </c>
    </row>
    <row r="187" spans="1:8" x14ac:dyDescent="0.2">
      <c r="A187" s="53" t="str">
        <f t="array" ref="A187">IFERROR(INDEX('Annex 2 Designated EHV charges'!$D$11:$D$58, MATCH(0, IF(ISBLANK('Annex 2 Designated EHV charges'!$D$11:$D$58),1, COUNTIF(A$4:$A186, 'Annex 2 Designated EHV charges'!$D$11:$D$58)), 0)),"")</f>
        <v/>
      </c>
      <c r="B187" s="53" t="str">
        <f>IF($A187="","",VLOOKUP($A187,'Annex 2 Designated EHV charges'!$D:$O,2,0))</f>
        <v/>
      </c>
      <c r="C187" s="61" t="str">
        <f>IF($A187="","",VLOOKUP($A187,'Annex 2 Designated EHV charges'!$D:$O,3,0))</f>
        <v/>
      </c>
      <c r="D187" s="61" t="str">
        <f>IF($A187="","",VLOOKUP($A187,'Annex 2 Designated EHV charges'!$D:$O,4,0))</f>
        <v/>
      </c>
      <c r="E187" s="62" t="str">
        <f>IFERROR(IF(VLOOKUP($A187,'Annex 2 Designated EHV charges'!$D:$P,10,FALSE)=0,"",VLOOKUP($A187,'Annex 2 Designated EHV charges'!$D:$P,10,FALSE)),"")</f>
        <v/>
      </c>
      <c r="F187" s="63" t="str">
        <f>IFERROR(IF(VLOOKUP($A187,'Annex 2 Designated EHV charges'!$D:$P,11,FALSE)=0,"",VLOOKUP($A187,'Annex 2 Designated EHV charges'!$D:$P,11,FALSE)),"")</f>
        <v/>
      </c>
      <c r="G187" s="63" t="str">
        <f>IFERROR(IF(VLOOKUP($A187,'Annex 2 Designated EHV charges'!$D:$P,12,FALSE)=0,"",VLOOKUP($A187,'Annex 2 Designated EHV charges'!$D:$P,12,FALSE)),"")</f>
        <v/>
      </c>
      <c r="H187" s="53" t="str">
        <f>IFERROR(IF(VLOOKUP($A187,'Annex 2 Designated EHV charges'!$D:$P,13,FALSE)=0,"",VLOOKUP($A187,'Annex 2 Designated EHV charges'!$D:$P,13,FALSE)),"")</f>
        <v/>
      </c>
    </row>
    <row r="188" spans="1:8" x14ac:dyDescent="0.2">
      <c r="A188" s="53" t="str">
        <f t="array" ref="A188">IFERROR(INDEX('Annex 2 Designated EHV charges'!$D$11:$D$58, MATCH(0, IF(ISBLANK('Annex 2 Designated EHV charges'!$D$11:$D$58),1, COUNTIF(A$4:$A187, 'Annex 2 Designated EHV charges'!$D$11:$D$58)), 0)),"")</f>
        <v/>
      </c>
      <c r="B188" s="53" t="str">
        <f>IF($A188="","",VLOOKUP($A188,'Annex 2 Designated EHV charges'!$D:$O,2,0))</f>
        <v/>
      </c>
      <c r="C188" s="61" t="str">
        <f>IF($A188="","",VLOOKUP($A188,'Annex 2 Designated EHV charges'!$D:$O,3,0))</f>
        <v/>
      </c>
      <c r="D188" s="61" t="str">
        <f>IF($A188="","",VLOOKUP($A188,'Annex 2 Designated EHV charges'!$D:$O,4,0))</f>
        <v/>
      </c>
      <c r="E188" s="62" t="str">
        <f>IFERROR(IF(VLOOKUP($A188,'Annex 2 Designated EHV charges'!$D:$P,10,FALSE)=0,"",VLOOKUP($A188,'Annex 2 Designated EHV charges'!$D:$P,10,FALSE)),"")</f>
        <v/>
      </c>
      <c r="F188" s="63" t="str">
        <f>IFERROR(IF(VLOOKUP($A188,'Annex 2 Designated EHV charges'!$D:$P,11,FALSE)=0,"",VLOOKUP($A188,'Annex 2 Designated EHV charges'!$D:$P,11,FALSE)),"")</f>
        <v/>
      </c>
      <c r="G188" s="63" t="str">
        <f>IFERROR(IF(VLOOKUP($A188,'Annex 2 Designated EHV charges'!$D:$P,12,FALSE)=0,"",VLOOKUP($A188,'Annex 2 Designated EHV charges'!$D:$P,12,FALSE)),"")</f>
        <v/>
      </c>
      <c r="H188" s="53" t="str">
        <f>IFERROR(IF(VLOOKUP($A188,'Annex 2 Designated EHV charges'!$D:$P,13,FALSE)=0,"",VLOOKUP($A188,'Annex 2 Designated EHV charges'!$D:$P,13,FALSE)),"")</f>
        <v/>
      </c>
    </row>
    <row r="189" spans="1:8" x14ac:dyDescent="0.2">
      <c r="A189" s="53" t="str">
        <f t="array" ref="A189">IFERROR(INDEX('Annex 2 Designated EHV charges'!$D$11:$D$58, MATCH(0, IF(ISBLANK('Annex 2 Designated EHV charges'!$D$11:$D$58),1, COUNTIF(A$4:$A188, 'Annex 2 Designated EHV charges'!$D$11:$D$58)), 0)),"")</f>
        <v/>
      </c>
      <c r="B189" s="53" t="str">
        <f>IF($A189="","",VLOOKUP($A189,'Annex 2 Designated EHV charges'!$D:$O,2,0))</f>
        <v/>
      </c>
      <c r="C189" s="61" t="str">
        <f>IF($A189="","",VLOOKUP($A189,'Annex 2 Designated EHV charges'!$D:$O,3,0))</f>
        <v/>
      </c>
      <c r="D189" s="61" t="str">
        <f>IF($A189="","",VLOOKUP($A189,'Annex 2 Designated EHV charges'!$D:$O,4,0))</f>
        <v/>
      </c>
      <c r="E189" s="62" t="str">
        <f>IFERROR(IF(VLOOKUP($A189,'Annex 2 Designated EHV charges'!$D:$P,10,FALSE)=0,"",VLOOKUP($A189,'Annex 2 Designated EHV charges'!$D:$P,10,FALSE)),"")</f>
        <v/>
      </c>
      <c r="F189" s="63" t="str">
        <f>IFERROR(IF(VLOOKUP($A189,'Annex 2 Designated EHV charges'!$D:$P,11,FALSE)=0,"",VLOOKUP($A189,'Annex 2 Designated EHV charges'!$D:$P,11,FALSE)),"")</f>
        <v/>
      </c>
      <c r="G189" s="63" t="str">
        <f>IFERROR(IF(VLOOKUP($A189,'Annex 2 Designated EHV charges'!$D:$P,12,FALSE)=0,"",VLOOKUP($A189,'Annex 2 Designated EHV charges'!$D:$P,12,FALSE)),"")</f>
        <v/>
      </c>
      <c r="H189" s="53" t="str">
        <f>IFERROR(IF(VLOOKUP($A189,'Annex 2 Designated EHV charges'!$D:$P,13,FALSE)=0,"",VLOOKUP($A189,'Annex 2 Designated EHV charges'!$D:$P,13,FALSE)),"")</f>
        <v/>
      </c>
    </row>
    <row r="190" spans="1:8" x14ac:dyDescent="0.2">
      <c r="A190" s="53" t="str">
        <f t="array" ref="A190">IFERROR(INDEX('Annex 2 Designated EHV charges'!$D$11:$D$58, MATCH(0, IF(ISBLANK('Annex 2 Designated EHV charges'!$D$11:$D$58),1, COUNTIF(A$4:$A189, 'Annex 2 Designated EHV charges'!$D$11:$D$58)), 0)),"")</f>
        <v/>
      </c>
      <c r="B190" s="53" t="str">
        <f>IF($A190="","",VLOOKUP($A190,'Annex 2 Designated EHV charges'!$D:$O,2,0))</f>
        <v/>
      </c>
      <c r="C190" s="61" t="str">
        <f>IF($A190="","",VLOOKUP($A190,'Annex 2 Designated EHV charges'!$D:$O,3,0))</f>
        <v/>
      </c>
      <c r="D190" s="61" t="str">
        <f>IF($A190="","",VLOOKUP($A190,'Annex 2 Designated EHV charges'!$D:$O,4,0))</f>
        <v/>
      </c>
      <c r="E190" s="62" t="str">
        <f>IFERROR(IF(VLOOKUP($A190,'Annex 2 Designated EHV charges'!$D:$P,10,FALSE)=0,"",VLOOKUP($A190,'Annex 2 Designated EHV charges'!$D:$P,10,FALSE)),"")</f>
        <v/>
      </c>
      <c r="F190" s="63" t="str">
        <f>IFERROR(IF(VLOOKUP($A190,'Annex 2 Designated EHV charges'!$D:$P,11,FALSE)=0,"",VLOOKUP($A190,'Annex 2 Designated EHV charges'!$D:$P,11,FALSE)),"")</f>
        <v/>
      </c>
      <c r="G190" s="63" t="str">
        <f>IFERROR(IF(VLOOKUP($A190,'Annex 2 Designated EHV charges'!$D:$P,12,FALSE)=0,"",VLOOKUP($A190,'Annex 2 Designated EHV charges'!$D:$P,12,FALSE)),"")</f>
        <v/>
      </c>
      <c r="H190" s="53" t="str">
        <f>IFERROR(IF(VLOOKUP($A190,'Annex 2 Designated EHV charges'!$D:$P,13,FALSE)=0,"",VLOOKUP($A190,'Annex 2 Designated EHV charges'!$D:$P,13,FALSE)),"")</f>
        <v/>
      </c>
    </row>
    <row r="191" spans="1:8" x14ac:dyDescent="0.2">
      <c r="A191" s="53" t="str">
        <f t="array" ref="A191">IFERROR(INDEX('Annex 2 Designated EHV charges'!$D$11:$D$58, MATCH(0, IF(ISBLANK('Annex 2 Designated EHV charges'!$D$11:$D$58),1, COUNTIF(A$4:$A190, 'Annex 2 Designated EHV charges'!$D$11:$D$58)), 0)),"")</f>
        <v/>
      </c>
      <c r="B191" s="53" t="str">
        <f>IF($A191="","",VLOOKUP($A191,'Annex 2 Designated EHV charges'!$D:$O,2,0))</f>
        <v/>
      </c>
      <c r="C191" s="61" t="str">
        <f>IF($A191="","",VLOOKUP($A191,'Annex 2 Designated EHV charges'!$D:$O,3,0))</f>
        <v/>
      </c>
      <c r="D191" s="61" t="str">
        <f>IF($A191="","",VLOOKUP($A191,'Annex 2 Designated EHV charges'!$D:$O,4,0))</f>
        <v/>
      </c>
      <c r="E191" s="62" t="str">
        <f>IFERROR(IF(VLOOKUP($A191,'Annex 2 Designated EHV charges'!$D:$P,10,FALSE)=0,"",VLOOKUP($A191,'Annex 2 Designated EHV charges'!$D:$P,10,FALSE)),"")</f>
        <v/>
      </c>
      <c r="F191" s="63" t="str">
        <f>IFERROR(IF(VLOOKUP($A191,'Annex 2 Designated EHV charges'!$D:$P,11,FALSE)=0,"",VLOOKUP($A191,'Annex 2 Designated EHV charges'!$D:$P,11,FALSE)),"")</f>
        <v/>
      </c>
      <c r="G191" s="63" t="str">
        <f>IFERROR(IF(VLOOKUP($A191,'Annex 2 Designated EHV charges'!$D:$P,12,FALSE)=0,"",VLOOKUP($A191,'Annex 2 Designated EHV charges'!$D:$P,12,FALSE)),"")</f>
        <v/>
      </c>
      <c r="H191" s="53" t="str">
        <f>IFERROR(IF(VLOOKUP($A191,'Annex 2 Designated EHV charges'!$D:$P,13,FALSE)=0,"",VLOOKUP($A191,'Annex 2 Designated EHV charges'!$D:$P,13,FALSE)),"")</f>
        <v/>
      </c>
    </row>
    <row r="192" spans="1:8" x14ac:dyDescent="0.2">
      <c r="A192" s="53" t="str">
        <f t="array" ref="A192">IFERROR(INDEX('Annex 2 Designated EHV charges'!$D$11:$D$58, MATCH(0, IF(ISBLANK('Annex 2 Designated EHV charges'!$D$11:$D$58),1, COUNTIF(A$4:$A191, 'Annex 2 Designated EHV charges'!$D$11:$D$58)), 0)),"")</f>
        <v/>
      </c>
      <c r="B192" s="53" t="str">
        <f>IF($A192="","",VLOOKUP($A192,'Annex 2 Designated EHV charges'!$D:$O,2,0))</f>
        <v/>
      </c>
      <c r="C192" s="61" t="str">
        <f>IF($A192="","",VLOOKUP($A192,'Annex 2 Designated EHV charges'!$D:$O,3,0))</f>
        <v/>
      </c>
      <c r="D192" s="61" t="str">
        <f>IF($A192="","",VLOOKUP($A192,'Annex 2 Designated EHV charges'!$D:$O,4,0))</f>
        <v/>
      </c>
      <c r="E192" s="62" t="str">
        <f>IFERROR(IF(VLOOKUP($A192,'Annex 2 Designated EHV charges'!$D:$P,10,FALSE)=0,"",VLOOKUP($A192,'Annex 2 Designated EHV charges'!$D:$P,10,FALSE)),"")</f>
        <v/>
      </c>
      <c r="F192" s="63" t="str">
        <f>IFERROR(IF(VLOOKUP($A192,'Annex 2 Designated EHV charges'!$D:$P,11,FALSE)=0,"",VLOOKUP($A192,'Annex 2 Designated EHV charges'!$D:$P,11,FALSE)),"")</f>
        <v/>
      </c>
      <c r="G192" s="63" t="str">
        <f>IFERROR(IF(VLOOKUP($A192,'Annex 2 Designated EHV charges'!$D:$P,12,FALSE)=0,"",VLOOKUP($A192,'Annex 2 Designated EHV charges'!$D:$P,12,FALSE)),"")</f>
        <v/>
      </c>
      <c r="H192" s="53" t="str">
        <f>IFERROR(IF(VLOOKUP($A192,'Annex 2 Designated EHV charges'!$D:$P,13,FALSE)=0,"",VLOOKUP($A192,'Annex 2 Designated EHV charges'!$D:$P,13,FALSE)),"")</f>
        <v/>
      </c>
    </row>
    <row r="193" spans="1:8" x14ac:dyDescent="0.2">
      <c r="A193" s="53" t="str">
        <f t="array" ref="A193">IFERROR(INDEX('Annex 2 Designated EHV charges'!$D$11:$D$58, MATCH(0, IF(ISBLANK('Annex 2 Designated EHV charges'!$D$11:$D$58),1, COUNTIF(A$4:$A192, 'Annex 2 Designated EHV charges'!$D$11:$D$58)), 0)),"")</f>
        <v/>
      </c>
      <c r="B193" s="53" t="str">
        <f>IF($A193="","",VLOOKUP($A193,'Annex 2 Designated EHV charges'!$D:$O,2,0))</f>
        <v/>
      </c>
      <c r="C193" s="61" t="str">
        <f>IF($A193="","",VLOOKUP($A193,'Annex 2 Designated EHV charges'!$D:$O,3,0))</f>
        <v/>
      </c>
      <c r="D193" s="61" t="str">
        <f>IF($A193="","",VLOOKUP($A193,'Annex 2 Designated EHV charges'!$D:$O,4,0))</f>
        <v/>
      </c>
      <c r="E193" s="62" t="str">
        <f>IFERROR(IF(VLOOKUP($A193,'Annex 2 Designated EHV charges'!$D:$P,10,FALSE)=0,"",VLOOKUP($A193,'Annex 2 Designated EHV charges'!$D:$P,10,FALSE)),"")</f>
        <v/>
      </c>
      <c r="F193" s="63" t="str">
        <f>IFERROR(IF(VLOOKUP($A193,'Annex 2 Designated EHV charges'!$D:$P,11,FALSE)=0,"",VLOOKUP($A193,'Annex 2 Designated EHV charges'!$D:$P,11,FALSE)),"")</f>
        <v/>
      </c>
      <c r="G193" s="63" t="str">
        <f>IFERROR(IF(VLOOKUP($A193,'Annex 2 Designated EHV charges'!$D:$P,12,FALSE)=0,"",VLOOKUP($A193,'Annex 2 Designated EHV charges'!$D:$P,12,FALSE)),"")</f>
        <v/>
      </c>
      <c r="H193" s="53" t="str">
        <f>IFERROR(IF(VLOOKUP($A193,'Annex 2 Designated EHV charges'!$D:$P,13,FALSE)=0,"",VLOOKUP($A193,'Annex 2 Designated EHV charges'!$D:$P,13,FALSE)),"")</f>
        <v/>
      </c>
    </row>
    <row r="194" spans="1:8" x14ac:dyDescent="0.2">
      <c r="A194" s="53" t="str">
        <f t="array" ref="A194">IFERROR(INDEX('Annex 2 Designated EHV charges'!$D$11:$D$58, MATCH(0, IF(ISBLANK('Annex 2 Designated EHV charges'!$D$11:$D$58),1, COUNTIF(A$4:$A193, 'Annex 2 Designated EHV charges'!$D$11:$D$58)), 0)),"")</f>
        <v/>
      </c>
      <c r="B194" s="53" t="str">
        <f>IF($A194="","",VLOOKUP($A194,'Annex 2 Designated EHV charges'!$D:$O,2,0))</f>
        <v/>
      </c>
      <c r="C194" s="61" t="str">
        <f>IF($A194="","",VLOOKUP($A194,'Annex 2 Designated EHV charges'!$D:$O,3,0))</f>
        <v/>
      </c>
      <c r="D194" s="61" t="str">
        <f>IF($A194="","",VLOOKUP($A194,'Annex 2 Designated EHV charges'!$D:$O,4,0))</f>
        <v/>
      </c>
      <c r="E194" s="62" t="str">
        <f>IFERROR(IF(VLOOKUP($A194,'Annex 2 Designated EHV charges'!$D:$P,10,FALSE)=0,"",VLOOKUP($A194,'Annex 2 Designated EHV charges'!$D:$P,10,FALSE)),"")</f>
        <v/>
      </c>
      <c r="F194" s="63" t="str">
        <f>IFERROR(IF(VLOOKUP($A194,'Annex 2 Designated EHV charges'!$D:$P,11,FALSE)=0,"",VLOOKUP($A194,'Annex 2 Designated EHV charges'!$D:$P,11,FALSE)),"")</f>
        <v/>
      </c>
      <c r="G194" s="63" t="str">
        <f>IFERROR(IF(VLOOKUP($A194,'Annex 2 Designated EHV charges'!$D:$P,12,FALSE)=0,"",VLOOKUP($A194,'Annex 2 Designated EHV charges'!$D:$P,12,FALSE)),"")</f>
        <v/>
      </c>
      <c r="H194" s="53" t="str">
        <f>IFERROR(IF(VLOOKUP($A194,'Annex 2 Designated EHV charges'!$D:$P,13,FALSE)=0,"",VLOOKUP($A194,'Annex 2 Designated EHV charges'!$D:$P,13,FALSE)),"")</f>
        <v/>
      </c>
    </row>
    <row r="195" spans="1:8" x14ac:dyDescent="0.2">
      <c r="A195" s="53" t="str">
        <f t="array" ref="A195">IFERROR(INDEX('Annex 2 Designated EHV charges'!$D$11:$D$58, MATCH(0, IF(ISBLANK('Annex 2 Designated EHV charges'!$D$11:$D$58),1, COUNTIF(A$4:$A194, 'Annex 2 Designated EHV charges'!$D$11:$D$58)), 0)),"")</f>
        <v/>
      </c>
      <c r="B195" s="53" t="str">
        <f>IF($A195="","",VLOOKUP($A195,'Annex 2 Designated EHV charges'!$D:$O,2,0))</f>
        <v/>
      </c>
      <c r="C195" s="61" t="str">
        <f>IF($A195="","",VLOOKUP($A195,'Annex 2 Designated EHV charges'!$D:$O,3,0))</f>
        <v/>
      </c>
      <c r="D195" s="61" t="str">
        <f>IF($A195="","",VLOOKUP($A195,'Annex 2 Designated EHV charges'!$D:$O,4,0))</f>
        <v/>
      </c>
      <c r="E195" s="62" t="str">
        <f>IFERROR(IF(VLOOKUP($A195,'Annex 2 Designated EHV charges'!$D:$P,10,FALSE)=0,"",VLOOKUP($A195,'Annex 2 Designated EHV charges'!$D:$P,10,FALSE)),"")</f>
        <v/>
      </c>
      <c r="F195" s="63" t="str">
        <f>IFERROR(IF(VLOOKUP($A195,'Annex 2 Designated EHV charges'!$D:$P,11,FALSE)=0,"",VLOOKUP($A195,'Annex 2 Designated EHV charges'!$D:$P,11,FALSE)),"")</f>
        <v/>
      </c>
      <c r="G195" s="63" t="str">
        <f>IFERROR(IF(VLOOKUP($A195,'Annex 2 Designated EHV charges'!$D:$P,12,FALSE)=0,"",VLOOKUP($A195,'Annex 2 Designated EHV charges'!$D:$P,12,FALSE)),"")</f>
        <v/>
      </c>
      <c r="H195" s="53" t="str">
        <f>IFERROR(IF(VLOOKUP($A195,'Annex 2 Designated EHV charges'!$D:$P,13,FALSE)=0,"",VLOOKUP($A195,'Annex 2 Designated EHV charges'!$D:$P,13,FALSE)),"")</f>
        <v/>
      </c>
    </row>
    <row r="196" spans="1:8" x14ac:dyDescent="0.2">
      <c r="A196" s="53" t="str">
        <f t="array" ref="A196">IFERROR(INDEX('Annex 2 Designated EHV charges'!$D$11:$D$58, MATCH(0, IF(ISBLANK('Annex 2 Designated EHV charges'!$D$11:$D$58),1, COUNTIF(A$4:$A195, 'Annex 2 Designated EHV charges'!$D$11:$D$58)), 0)),"")</f>
        <v/>
      </c>
      <c r="B196" s="53" t="str">
        <f>IF($A196="","",VLOOKUP($A196,'Annex 2 Designated EHV charges'!$D:$O,2,0))</f>
        <v/>
      </c>
      <c r="C196" s="61" t="str">
        <f>IF($A196="","",VLOOKUP($A196,'Annex 2 Designated EHV charges'!$D:$O,3,0))</f>
        <v/>
      </c>
      <c r="D196" s="61" t="str">
        <f>IF($A196="","",VLOOKUP($A196,'Annex 2 Designated EHV charges'!$D:$O,4,0))</f>
        <v/>
      </c>
      <c r="E196" s="62" t="str">
        <f>IFERROR(IF(VLOOKUP($A196,'Annex 2 Designated EHV charges'!$D:$P,10,FALSE)=0,"",VLOOKUP($A196,'Annex 2 Designated EHV charges'!$D:$P,10,FALSE)),"")</f>
        <v/>
      </c>
      <c r="F196" s="63" t="str">
        <f>IFERROR(IF(VLOOKUP($A196,'Annex 2 Designated EHV charges'!$D:$P,11,FALSE)=0,"",VLOOKUP($A196,'Annex 2 Designated EHV charges'!$D:$P,11,FALSE)),"")</f>
        <v/>
      </c>
      <c r="G196" s="63" t="str">
        <f>IFERROR(IF(VLOOKUP($A196,'Annex 2 Designated EHV charges'!$D:$P,12,FALSE)=0,"",VLOOKUP($A196,'Annex 2 Designated EHV charges'!$D:$P,12,FALSE)),"")</f>
        <v/>
      </c>
      <c r="H196" s="53" t="str">
        <f>IFERROR(IF(VLOOKUP($A196,'Annex 2 Designated EHV charges'!$D:$P,13,FALSE)=0,"",VLOOKUP($A196,'Annex 2 Designated EHV charges'!$D:$P,13,FALSE)),"")</f>
        <v/>
      </c>
    </row>
    <row r="197" spans="1:8" x14ac:dyDescent="0.2">
      <c r="A197" s="53" t="str">
        <f t="array" ref="A197">IFERROR(INDEX('Annex 2 Designated EHV charges'!$D$11:$D$58, MATCH(0, IF(ISBLANK('Annex 2 Designated EHV charges'!$D$11:$D$58),1, COUNTIF(A$4:$A196, 'Annex 2 Designated EHV charges'!$D$11:$D$58)), 0)),"")</f>
        <v/>
      </c>
      <c r="B197" s="53" t="str">
        <f>IF($A197="","",VLOOKUP($A197,'Annex 2 Designated EHV charges'!$D:$O,2,0))</f>
        <v/>
      </c>
      <c r="C197" s="61" t="str">
        <f>IF($A197="","",VLOOKUP($A197,'Annex 2 Designated EHV charges'!$D:$O,3,0))</f>
        <v/>
      </c>
      <c r="D197" s="61" t="str">
        <f>IF($A197="","",VLOOKUP($A197,'Annex 2 Designated EHV charges'!$D:$O,4,0))</f>
        <v/>
      </c>
      <c r="E197" s="62" t="str">
        <f>IFERROR(IF(VLOOKUP($A197,'Annex 2 Designated EHV charges'!$D:$P,10,FALSE)=0,"",VLOOKUP($A197,'Annex 2 Designated EHV charges'!$D:$P,10,FALSE)),"")</f>
        <v/>
      </c>
      <c r="F197" s="63" t="str">
        <f>IFERROR(IF(VLOOKUP($A197,'Annex 2 Designated EHV charges'!$D:$P,11,FALSE)=0,"",VLOOKUP($A197,'Annex 2 Designated EHV charges'!$D:$P,11,FALSE)),"")</f>
        <v/>
      </c>
      <c r="G197" s="63" t="str">
        <f>IFERROR(IF(VLOOKUP($A197,'Annex 2 Designated EHV charges'!$D:$P,12,FALSE)=0,"",VLOOKUP($A197,'Annex 2 Designated EHV charges'!$D:$P,12,FALSE)),"")</f>
        <v/>
      </c>
      <c r="H197" s="53" t="str">
        <f>IFERROR(IF(VLOOKUP($A197,'Annex 2 Designated EHV charges'!$D:$P,13,FALSE)=0,"",VLOOKUP($A197,'Annex 2 Designated EHV charges'!$D:$P,13,FALSE)),"")</f>
        <v/>
      </c>
    </row>
    <row r="198" spans="1:8" x14ac:dyDescent="0.2">
      <c r="A198" s="53" t="str">
        <f t="array" ref="A198">IFERROR(INDEX('Annex 2 Designated EHV charges'!$D$11:$D$58, MATCH(0, IF(ISBLANK('Annex 2 Designated EHV charges'!$D$11:$D$58),1, COUNTIF(A$4:$A197, 'Annex 2 Designated EHV charges'!$D$11:$D$58)), 0)),"")</f>
        <v/>
      </c>
      <c r="B198" s="53" t="str">
        <f>IF($A198="","",VLOOKUP($A198,'Annex 2 Designated EHV charges'!$D:$O,2,0))</f>
        <v/>
      </c>
      <c r="C198" s="61" t="str">
        <f>IF($A198="","",VLOOKUP($A198,'Annex 2 Designated EHV charges'!$D:$O,3,0))</f>
        <v/>
      </c>
      <c r="D198" s="61" t="str">
        <f>IF($A198="","",VLOOKUP($A198,'Annex 2 Designated EHV charges'!$D:$O,4,0))</f>
        <v/>
      </c>
      <c r="E198" s="62" t="str">
        <f>IFERROR(IF(VLOOKUP($A198,'Annex 2 Designated EHV charges'!$D:$P,10,FALSE)=0,"",VLOOKUP($A198,'Annex 2 Designated EHV charges'!$D:$P,10,FALSE)),"")</f>
        <v/>
      </c>
      <c r="F198" s="63" t="str">
        <f>IFERROR(IF(VLOOKUP($A198,'Annex 2 Designated EHV charges'!$D:$P,11,FALSE)=0,"",VLOOKUP($A198,'Annex 2 Designated EHV charges'!$D:$P,11,FALSE)),"")</f>
        <v/>
      </c>
      <c r="G198" s="63" t="str">
        <f>IFERROR(IF(VLOOKUP($A198,'Annex 2 Designated EHV charges'!$D:$P,12,FALSE)=0,"",VLOOKUP($A198,'Annex 2 Designated EHV charges'!$D:$P,12,FALSE)),"")</f>
        <v/>
      </c>
      <c r="H198" s="53" t="str">
        <f>IFERROR(IF(VLOOKUP($A198,'Annex 2 Designated EHV charges'!$D:$P,13,FALSE)=0,"",VLOOKUP($A198,'Annex 2 Designated EHV charges'!$D:$P,13,FALSE)),"")</f>
        <v/>
      </c>
    </row>
    <row r="199" spans="1:8" x14ac:dyDescent="0.2">
      <c r="A199" s="53" t="str">
        <f t="array" ref="A199">IFERROR(INDEX('Annex 2 Designated EHV charges'!$D$11:$D$58, MATCH(0, IF(ISBLANK('Annex 2 Designated EHV charges'!$D$11:$D$58),1, COUNTIF(A$4:$A198, 'Annex 2 Designated EHV charges'!$D$11:$D$58)), 0)),"")</f>
        <v/>
      </c>
      <c r="B199" s="53" t="str">
        <f>IF($A199="","",VLOOKUP($A199,'Annex 2 Designated EHV charges'!$D:$O,2,0))</f>
        <v/>
      </c>
      <c r="C199" s="61" t="str">
        <f>IF($A199="","",VLOOKUP($A199,'Annex 2 Designated EHV charges'!$D:$O,3,0))</f>
        <v/>
      </c>
      <c r="D199" s="61" t="str">
        <f>IF($A199="","",VLOOKUP($A199,'Annex 2 Designated EHV charges'!$D:$O,4,0))</f>
        <v/>
      </c>
      <c r="E199" s="62" t="str">
        <f>IFERROR(IF(VLOOKUP($A199,'Annex 2 Designated EHV charges'!$D:$P,10,FALSE)=0,"",VLOOKUP($A199,'Annex 2 Designated EHV charges'!$D:$P,10,FALSE)),"")</f>
        <v/>
      </c>
      <c r="F199" s="63" t="str">
        <f>IFERROR(IF(VLOOKUP($A199,'Annex 2 Designated EHV charges'!$D:$P,11,FALSE)=0,"",VLOOKUP($A199,'Annex 2 Designated EHV charges'!$D:$P,11,FALSE)),"")</f>
        <v/>
      </c>
      <c r="G199" s="63" t="str">
        <f>IFERROR(IF(VLOOKUP($A199,'Annex 2 Designated EHV charges'!$D:$P,12,FALSE)=0,"",VLOOKUP($A199,'Annex 2 Designated EHV charges'!$D:$P,12,FALSE)),"")</f>
        <v/>
      </c>
      <c r="H199" s="53" t="str">
        <f>IFERROR(IF(VLOOKUP($A199,'Annex 2 Designated EHV charges'!$D:$P,13,FALSE)=0,"",VLOOKUP($A199,'Annex 2 Designated EHV charges'!$D:$P,13,FALSE)),"")</f>
        <v/>
      </c>
    </row>
    <row r="200" spans="1:8" x14ac:dyDescent="0.2">
      <c r="A200" s="53" t="str">
        <f t="array" ref="A200">IFERROR(INDEX('Annex 2 Designated EHV charges'!$D$11:$D$58, MATCH(0, IF(ISBLANK('Annex 2 Designated EHV charges'!$D$11:$D$58),1, COUNTIF(A$4:$A199, 'Annex 2 Designated EHV charges'!$D$11:$D$58)), 0)),"")</f>
        <v/>
      </c>
      <c r="B200" s="53" t="str">
        <f>IF($A200="","",VLOOKUP($A200,'Annex 2 Designated EHV charges'!$D:$O,2,0))</f>
        <v/>
      </c>
      <c r="C200" s="61" t="str">
        <f>IF($A200="","",VLOOKUP($A200,'Annex 2 Designated EHV charges'!$D:$O,3,0))</f>
        <v/>
      </c>
      <c r="D200" s="61" t="str">
        <f>IF($A200="","",VLOOKUP($A200,'Annex 2 Designated EHV charges'!$D:$O,4,0))</f>
        <v/>
      </c>
      <c r="E200" s="62" t="str">
        <f>IFERROR(IF(VLOOKUP($A200,'Annex 2 Designated EHV charges'!$D:$P,10,FALSE)=0,"",VLOOKUP($A200,'Annex 2 Designated EHV charges'!$D:$P,10,FALSE)),"")</f>
        <v/>
      </c>
      <c r="F200" s="63" t="str">
        <f>IFERROR(IF(VLOOKUP($A200,'Annex 2 Designated EHV charges'!$D:$P,11,FALSE)=0,"",VLOOKUP($A200,'Annex 2 Designated EHV charges'!$D:$P,11,FALSE)),"")</f>
        <v/>
      </c>
      <c r="G200" s="63" t="str">
        <f>IFERROR(IF(VLOOKUP($A200,'Annex 2 Designated EHV charges'!$D:$P,12,FALSE)=0,"",VLOOKUP($A200,'Annex 2 Designated EHV charges'!$D:$P,12,FALSE)),"")</f>
        <v/>
      </c>
      <c r="H200" s="53" t="str">
        <f>IFERROR(IF(VLOOKUP($A200,'Annex 2 Designated EHV charges'!$D:$P,13,FALSE)=0,"",VLOOKUP($A200,'Annex 2 Designated EHV charges'!$D:$P,13,FALSE)),"")</f>
        <v/>
      </c>
    </row>
    <row r="201" spans="1:8" x14ac:dyDescent="0.2">
      <c r="A201" s="53" t="str">
        <f t="array" ref="A201">IFERROR(INDEX('Annex 2 Designated EHV charges'!$D$11:$D$58, MATCH(0, IF(ISBLANK('Annex 2 Designated EHV charges'!$D$11:$D$58),1, COUNTIF(A$4:$A200, 'Annex 2 Designated EHV charges'!$D$11:$D$58)), 0)),"")</f>
        <v/>
      </c>
      <c r="B201" s="53" t="str">
        <f>IF($A201="","",VLOOKUP($A201,'Annex 2 Designated EHV charges'!$D:$O,2,0))</f>
        <v/>
      </c>
      <c r="C201" s="61" t="str">
        <f>IF($A201="","",VLOOKUP($A201,'Annex 2 Designated EHV charges'!$D:$O,3,0))</f>
        <v/>
      </c>
      <c r="D201" s="61" t="str">
        <f>IF($A201="","",VLOOKUP($A201,'Annex 2 Designated EHV charges'!$D:$O,4,0))</f>
        <v/>
      </c>
      <c r="E201" s="62" t="str">
        <f>IFERROR(IF(VLOOKUP($A201,'Annex 2 Designated EHV charges'!$D:$P,10,FALSE)=0,"",VLOOKUP($A201,'Annex 2 Designated EHV charges'!$D:$P,10,FALSE)),"")</f>
        <v/>
      </c>
      <c r="F201" s="63" t="str">
        <f>IFERROR(IF(VLOOKUP($A201,'Annex 2 Designated EHV charges'!$D:$P,11,FALSE)=0,"",VLOOKUP($A201,'Annex 2 Designated EHV charges'!$D:$P,11,FALSE)),"")</f>
        <v/>
      </c>
      <c r="G201" s="63" t="str">
        <f>IFERROR(IF(VLOOKUP($A201,'Annex 2 Designated EHV charges'!$D:$P,12,FALSE)=0,"",VLOOKUP($A201,'Annex 2 Designated EHV charges'!$D:$P,12,FALSE)),"")</f>
        <v/>
      </c>
      <c r="H201" s="53" t="str">
        <f>IFERROR(IF(VLOOKUP($A201,'Annex 2 Designated EHV charges'!$D:$P,13,FALSE)=0,"",VLOOKUP($A201,'Annex 2 Designated EHV charges'!$D:$P,13,FALSE)),"")</f>
        <v/>
      </c>
    </row>
    <row r="202" spans="1:8" x14ac:dyDescent="0.2">
      <c r="A202" s="53" t="str">
        <f t="array" ref="A202">IFERROR(INDEX('Annex 2 Designated EHV charges'!$D$11:$D$58, MATCH(0, IF(ISBLANK('Annex 2 Designated EHV charges'!$D$11:$D$58),1, COUNTIF(A$4:$A201, 'Annex 2 Designated EHV charges'!$D$11:$D$58)), 0)),"")</f>
        <v/>
      </c>
      <c r="B202" s="53" t="str">
        <f>IF($A202="","",VLOOKUP($A202,'Annex 2 Designated EHV charges'!$D:$O,2,0))</f>
        <v/>
      </c>
      <c r="C202" s="61" t="str">
        <f>IF($A202="","",VLOOKUP($A202,'Annex 2 Designated EHV charges'!$D:$O,3,0))</f>
        <v/>
      </c>
      <c r="D202" s="61" t="str">
        <f>IF($A202="","",VLOOKUP($A202,'Annex 2 Designated EHV charges'!$D:$O,4,0))</f>
        <v/>
      </c>
      <c r="E202" s="62" t="str">
        <f>IFERROR(IF(VLOOKUP($A202,'Annex 2 Designated EHV charges'!$D:$P,10,FALSE)=0,"",VLOOKUP($A202,'Annex 2 Designated EHV charges'!$D:$P,10,FALSE)),"")</f>
        <v/>
      </c>
      <c r="F202" s="63" t="str">
        <f>IFERROR(IF(VLOOKUP($A202,'Annex 2 Designated EHV charges'!$D:$P,11,FALSE)=0,"",VLOOKUP($A202,'Annex 2 Designated EHV charges'!$D:$P,11,FALSE)),"")</f>
        <v/>
      </c>
      <c r="G202" s="63" t="str">
        <f>IFERROR(IF(VLOOKUP($A202,'Annex 2 Designated EHV charges'!$D:$P,12,FALSE)=0,"",VLOOKUP($A202,'Annex 2 Designated EHV charges'!$D:$P,12,FALSE)),"")</f>
        <v/>
      </c>
      <c r="H202" s="53" t="str">
        <f>IFERROR(IF(VLOOKUP($A202,'Annex 2 Designated EHV charges'!$D:$P,13,FALSE)=0,"",VLOOKUP($A202,'Annex 2 Designated EHV charges'!$D:$P,13,FALSE)),"")</f>
        <v/>
      </c>
    </row>
    <row r="203" spans="1:8" x14ac:dyDescent="0.2">
      <c r="A203" s="53" t="str">
        <f t="array" ref="A203">IFERROR(INDEX('Annex 2 Designated EHV charges'!$D$11:$D$58, MATCH(0, IF(ISBLANK('Annex 2 Designated EHV charges'!$D$11:$D$58),1, COUNTIF(A$4:$A202, 'Annex 2 Designated EHV charges'!$D$11:$D$58)), 0)),"")</f>
        <v/>
      </c>
      <c r="B203" s="53" t="str">
        <f>IF($A203="","",VLOOKUP($A203,'Annex 2 Designated EHV charges'!$D:$O,2,0))</f>
        <v/>
      </c>
      <c r="C203" s="61" t="str">
        <f>IF($A203="","",VLOOKUP($A203,'Annex 2 Designated EHV charges'!$D:$O,3,0))</f>
        <v/>
      </c>
      <c r="D203" s="61" t="str">
        <f>IF($A203="","",VLOOKUP($A203,'Annex 2 Designated EHV charges'!$D:$O,4,0))</f>
        <v/>
      </c>
      <c r="E203" s="62" t="str">
        <f>IFERROR(IF(VLOOKUP($A203,'Annex 2 Designated EHV charges'!$D:$P,10,FALSE)=0,"",VLOOKUP($A203,'Annex 2 Designated EHV charges'!$D:$P,10,FALSE)),"")</f>
        <v/>
      </c>
      <c r="F203" s="63" t="str">
        <f>IFERROR(IF(VLOOKUP($A203,'Annex 2 Designated EHV charges'!$D:$P,11,FALSE)=0,"",VLOOKUP($A203,'Annex 2 Designated EHV charges'!$D:$P,11,FALSE)),"")</f>
        <v/>
      </c>
      <c r="G203" s="63" t="str">
        <f>IFERROR(IF(VLOOKUP($A203,'Annex 2 Designated EHV charges'!$D:$P,12,FALSE)=0,"",VLOOKUP($A203,'Annex 2 Designated EHV charges'!$D:$P,12,FALSE)),"")</f>
        <v/>
      </c>
      <c r="H203" s="53" t="str">
        <f>IFERROR(IF(VLOOKUP($A203,'Annex 2 Designated EHV charges'!$D:$P,13,FALSE)=0,"",VLOOKUP($A203,'Annex 2 Designated EHV charges'!$D:$P,13,FALSE)),"")</f>
        <v/>
      </c>
    </row>
    <row r="204" spans="1:8" x14ac:dyDescent="0.2">
      <c r="A204" s="53" t="str">
        <f t="array" ref="A204">IFERROR(INDEX('Annex 2 Designated EHV charges'!$D$11:$D$58, MATCH(0, IF(ISBLANK('Annex 2 Designated EHV charges'!$D$11:$D$58),1, COUNTIF(A$4:$A203, 'Annex 2 Designated EHV charges'!$D$11:$D$58)), 0)),"")</f>
        <v/>
      </c>
      <c r="B204" s="53" t="str">
        <f>IF($A204="","",VLOOKUP($A204,'Annex 2 Designated EHV charges'!$D:$O,2,0))</f>
        <v/>
      </c>
      <c r="C204" s="61" t="str">
        <f>IF($A204="","",VLOOKUP($A204,'Annex 2 Designated EHV charges'!$D:$O,3,0))</f>
        <v/>
      </c>
      <c r="D204" s="61" t="str">
        <f>IF($A204="","",VLOOKUP($A204,'Annex 2 Designated EHV charges'!$D:$O,4,0))</f>
        <v/>
      </c>
      <c r="E204" s="62" t="str">
        <f>IFERROR(IF(VLOOKUP($A204,'Annex 2 Designated EHV charges'!$D:$P,10,FALSE)=0,"",VLOOKUP($A204,'Annex 2 Designated EHV charges'!$D:$P,10,FALSE)),"")</f>
        <v/>
      </c>
      <c r="F204" s="63" t="str">
        <f>IFERROR(IF(VLOOKUP($A204,'Annex 2 Designated EHV charges'!$D:$P,11,FALSE)=0,"",VLOOKUP($A204,'Annex 2 Designated EHV charges'!$D:$P,11,FALSE)),"")</f>
        <v/>
      </c>
      <c r="G204" s="63" t="str">
        <f>IFERROR(IF(VLOOKUP($A204,'Annex 2 Designated EHV charges'!$D:$P,12,FALSE)=0,"",VLOOKUP($A204,'Annex 2 Designated EHV charges'!$D:$P,12,FALSE)),"")</f>
        <v/>
      </c>
      <c r="H204" s="53" t="str">
        <f>IFERROR(IF(VLOOKUP($A204,'Annex 2 Designated EHV charges'!$D:$P,13,FALSE)=0,"",VLOOKUP($A204,'Annex 2 Designated EHV charges'!$D:$P,13,FALSE)),"")</f>
        <v/>
      </c>
    </row>
    <row r="205" spans="1:8" x14ac:dyDescent="0.2">
      <c r="A205" s="53" t="str">
        <f t="array" ref="A205">IFERROR(INDEX('Annex 2 Designated EHV charges'!$D$11:$D$58, MATCH(0, IF(ISBLANK('Annex 2 Designated EHV charges'!$D$11:$D$58),1, COUNTIF(A$4:$A204, 'Annex 2 Designated EHV charges'!$D$11:$D$58)), 0)),"")</f>
        <v/>
      </c>
      <c r="B205" s="53" t="str">
        <f>IF($A205="","",VLOOKUP($A205,'Annex 2 Designated EHV charges'!$D:$O,2,0))</f>
        <v/>
      </c>
      <c r="C205" s="61" t="str">
        <f>IF($A205="","",VLOOKUP($A205,'Annex 2 Designated EHV charges'!$D:$O,3,0))</f>
        <v/>
      </c>
      <c r="D205" s="61" t="str">
        <f>IF($A205="","",VLOOKUP($A205,'Annex 2 Designated EHV charges'!$D:$O,4,0))</f>
        <v/>
      </c>
      <c r="E205" s="62" t="str">
        <f>IFERROR(IF(VLOOKUP($A205,'Annex 2 Designated EHV charges'!$D:$P,10,FALSE)=0,"",VLOOKUP($A205,'Annex 2 Designated EHV charges'!$D:$P,10,FALSE)),"")</f>
        <v/>
      </c>
      <c r="F205" s="63" t="str">
        <f>IFERROR(IF(VLOOKUP($A205,'Annex 2 Designated EHV charges'!$D:$P,11,FALSE)=0,"",VLOOKUP($A205,'Annex 2 Designated EHV charges'!$D:$P,11,FALSE)),"")</f>
        <v/>
      </c>
      <c r="G205" s="63" t="str">
        <f>IFERROR(IF(VLOOKUP($A205,'Annex 2 Designated EHV charges'!$D:$P,12,FALSE)=0,"",VLOOKUP($A205,'Annex 2 Designated EHV charges'!$D:$P,12,FALSE)),"")</f>
        <v/>
      </c>
      <c r="H205" s="53" t="str">
        <f>IFERROR(IF(VLOOKUP($A205,'Annex 2 Designated EHV charges'!$D:$P,13,FALSE)=0,"",VLOOKUP($A205,'Annex 2 Designated EHV charges'!$D:$P,13,FALSE)),"")</f>
        <v/>
      </c>
    </row>
    <row r="206" spans="1:8" x14ac:dyDescent="0.2">
      <c r="A206" s="53" t="str">
        <f t="array" ref="A206">IFERROR(INDEX('Annex 2 Designated EHV charges'!$D$11:$D$58, MATCH(0, IF(ISBLANK('Annex 2 Designated EHV charges'!$D$11:$D$58),1, COUNTIF(A$4:$A205, 'Annex 2 Designated EHV charges'!$D$11:$D$58)), 0)),"")</f>
        <v/>
      </c>
      <c r="B206" s="53" t="str">
        <f>IF($A206="","",VLOOKUP($A206,'Annex 2 Designated EHV charges'!$D:$O,2,0))</f>
        <v/>
      </c>
      <c r="C206" s="61" t="str">
        <f>IF($A206="","",VLOOKUP($A206,'Annex 2 Designated EHV charges'!$D:$O,3,0))</f>
        <v/>
      </c>
      <c r="D206" s="61" t="str">
        <f>IF($A206="","",VLOOKUP($A206,'Annex 2 Designated EHV charges'!$D:$O,4,0))</f>
        <v/>
      </c>
      <c r="E206" s="62" t="str">
        <f>IFERROR(IF(VLOOKUP($A206,'Annex 2 Designated EHV charges'!$D:$P,10,FALSE)=0,"",VLOOKUP($A206,'Annex 2 Designated EHV charges'!$D:$P,10,FALSE)),"")</f>
        <v/>
      </c>
      <c r="F206" s="63" t="str">
        <f>IFERROR(IF(VLOOKUP($A206,'Annex 2 Designated EHV charges'!$D:$P,11,FALSE)=0,"",VLOOKUP($A206,'Annex 2 Designated EHV charges'!$D:$P,11,FALSE)),"")</f>
        <v/>
      </c>
      <c r="G206" s="63" t="str">
        <f>IFERROR(IF(VLOOKUP($A206,'Annex 2 Designated EHV charges'!$D:$P,12,FALSE)=0,"",VLOOKUP($A206,'Annex 2 Designated EHV charges'!$D:$P,12,FALSE)),"")</f>
        <v/>
      </c>
      <c r="H206" s="53" t="str">
        <f>IFERROR(IF(VLOOKUP($A206,'Annex 2 Designated EHV charges'!$D:$P,13,FALSE)=0,"",VLOOKUP($A206,'Annex 2 Designated EHV charges'!$D:$P,13,FALSE)),"")</f>
        <v/>
      </c>
    </row>
    <row r="207" spans="1:8" x14ac:dyDescent="0.2">
      <c r="A207" s="53" t="str">
        <f t="array" ref="A207">IFERROR(INDEX('Annex 2 Designated EHV charges'!$D$11:$D$58, MATCH(0, IF(ISBLANK('Annex 2 Designated EHV charges'!$D$11:$D$58),1, COUNTIF(A$4:$A206, 'Annex 2 Designated EHV charges'!$D$11:$D$58)), 0)),"")</f>
        <v/>
      </c>
      <c r="B207" s="53" t="str">
        <f>IF($A207="","",VLOOKUP($A207,'Annex 2 Designated EHV charges'!$D:$O,2,0))</f>
        <v/>
      </c>
      <c r="C207" s="61" t="str">
        <f>IF($A207="","",VLOOKUP($A207,'Annex 2 Designated EHV charges'!$D:$O,3,0))</f>
        <v/>
      </c>
      <c r="D207" s="61" t="str">
        <f>IF($A207="","",VLOOKUP($A207,'Annex 2 Designated EHV charges'!$D:$O,4,0))</f>
        <v/>
      </c>
      <c r="E207" s="62" t="str">
        <f>IFERROR(IF(VLOOKUP($A207,'Annex 2 Designated EHV charges'!$D:$P,10,FALSE)=0,"",VLOOKUP($A207,'Annex 2 Designated EHV charges'!$D:$P,10,FALSE)),"")</f>
        <v/>
      </c>
      <c r="F207" s="63" t="str">
        <f>IFERROR(IF(VLOOKUP($A207,'Annex 2 Designated EHV charges'!$D:$P,11,FALSE)=0,"",VLOOKUP($A207,'Annex 2 Designated EHV charges'!$D:$P,11,FALSE)),"")</f>
        <v/>
      </c>
      <c r="G207" s="63" t="str">
        <f>IFERROR(IF(VLOOKUP($A207,'Annex 2 Designated EHV charges'!$D:$P,12,FALSE)=0,"",VLOOKUP($A207,'Annex 2 Designated EHV charges'!$D:$P,12,FALSE)),"")</f>
        <v/>
      </c>
      <c r="H207" s="53" t="str">
        <f>IFERROR(IF(VLOOKUP($A207,'Annex 2 Designated EHV charges'!$D:$P,13,FALSE)=0,"",VLOOKUP($A207,'Annex 2 Designated EHV charges'!$D:$P,13,FALSE)),"")</f>
        <v/>
      </c>
    </row>
    <row r="208" spans="1:8" x14ac:dyDescent="0.2">
      <c r="A208" s="53" t="str">
        <f t="array" ref="A208">IFERROR(INDEX('Annex 2 Designated EHV charges'!$D$11:$D$58, MATCH(0, IF(ISBLANK('Annex 2 Designated EHV charges'!$D$11:$D$58),1, COUNTIF(A$4:$A207, 'Annex 2 Designated EHV charges'!$D$11:$D$58)), 0)),"")</f>
        <v/>
      </c>
      <c r="B208" s="53" t="str">
        <f>IF($A208="","",VLOOKUP($A208,'Annex 2 Designated EHV charges'!$D:$O,2,0))</f>
        <v/>
      </c>
      <c r="C208" s="61" t="str">
        <f>IF($A208="","",VLOOKUP($A208,'Annex 2 Designated EHV charges'!$D:$O,3,0))</f>
        <v/>
      </c>
      <c r="D208" s="61" t="str">
        <f>IF($A208="","",VLOOKUP($A208,'Annex 2 Designated EHV charges'!$D:$O,4,0))</f>
        <v/>
      </c>
      <c r="E208" s="62" t="str">
        <f>IFERROR(IF(VLOOKUP($A208,'Annex 2 Designated EHV charges'!$D:$P,10,FALSE)=0,"",VLOOKUP($A208,'Annex 2 Designated EHV charges'!$D:$P,10,FALSE)),"")</f>
        <v/>
      </c>
      <c r="F208" s="63" t="str">
        <f>IFERROR(IF(VLOOKUP($A208,'Annex 2 Designated EHV charges'!$D:$P,11,FALSE)=0,"",VLOOKUP($A208,'Annex 2 Designated EHV charges'!$D:$P,11,FALSE)),"")</f>
        <v/>
      </c>
      <c r="G208" s="63" t="str">
        <f>IFERROR(IF(VLOOKUP($A208,'Annex 2 Designated EHV charges'!$D:$P,12,FALSE)=0,"",VLOOKUP($A208,'Annex 2 Designated EHV charges'!$D:$P,12,FALSE)),"")</f>
        <v/>
      </c>
      <c r="H208" s="53" t="str">
        <f>IFERROR(IF(VLOOKUP($A208,'Annex 2 Designated EHV charges'!$D:$P,13,FALSE)=0,"",VLOOKUP($A208,'Annex 2 Designated EHV charges'!$D:$P,13,FALSE)),"")</f>
        <v/>
      </c>
    </row>
    <row r="209" spans="1:8" x14ac:dyDescent="0.2">
      <c r="A209" s="53" t="str">
        <f t="array" ref="A209">IFERROR(INDEX('Annex 2 Designated EHV charges'!$D$11:$D$58, MATCH(0, IF(ISBLANK('Annex 2 Designated EHV charges'!$D$11:$D$58),1, COUNTIF(A$4:$A208, 'Annex 2 Designated EHV charges'!$D$11:$D$58)), 0)),"")</f>
        <v/>
      </c>
      <c r="B209" s="53" t="str">
        <f>IF($A209="","",VLOOKUP($A209,'Annex 2 Designated EHV charges'!$D:$O,2,0))</f>
        <v/>
      </c>
      <c r="C209" s="61" t="str">
        <f>IF($A209="","",VLOOKUP($A209,'Annex 2 Designated EHV charges'!$D:$O,3,0))</f>
        <v/>
      </c>
      <c r="D209" s="61" t="str">
        <f>IF($A209="","",VLOOKUP($A209,'Annex 2 Designated EHV charges'!$D:$O,4,0))</f>
        <v/>
      </c>
      <c r="E209" s="62" t="str">
        <f>IFERROR(IF(VLOOKUP($A209,'Annex 2 Designated EHV charges'!$D:$P,10,FALSE)=0,"",VLOOKUP($A209,'Annex 2 Designated EHV charges'!$D:$P,10,FALSE)),"")</f>
        <v/>
      </c>
      <c r="F209" s="63" t="str">
        <f>IFERROR(IF(VLOOKUP($A209,'Annex 2 Designated EHV charges'!$D:$P,11,FALSE)=0,"",VLOOKUP($A209,'Annex 2 Designated EHV charges'!$D:$P,11,FALSE)),"")</f>
        <v/>
      </c>
      <c r="G209" s="63" t="str">
        <f>IFERROR(IF(VLOOKUP($A209,'Annex 2 Designated EHV charges'!$D:$P,12,FALSE)=0,"",VLOOKUP($A209,'Annex 2 Designated EHV charges'!$D:$P,12,FALSE)),"")</f>
        <v/>
      </c>
      <c r="H209" s="53" t="str">
        <f>IFERROR(IF(VLOOKUP($A209,'Annex 2 Designated EHV charges'!$D:$P,13,FALSE)=0,"",VLOOKUP($A209,'Annex 2 Designated EHV charges'!$D:$P,13,FALSE)),"")</f>
        <v/>
      </c>
    </row>
    <row r="210" spans="1:8" x14ac:dyDescent="0.2">
      <c r="A210" s="53" t="str">
        <f t="array" ref="A210">IFERROR(INDEX('Annex 2 Designated EHV charges'!$D$11:$D$58, MATCH(0, IF(ISBLANK('Annex 2 Designated EHV charges'!$D$11:$D$58),1, COUNTIF(A$4:$A209, 'Annex 2 Designated EHV charges'!$D$11:$D$58)), 0)),"")</f>
        <v/>
      </c>
      <c r="B210" s="53" t="str">
        <f>IF($A210="","",VLOOKUP($A210,'Annex 2 Designated EHV charges'!$D:$O,2,0))</f>
        <v/>
      </c>
      <c r="C210" s="61" t="str">
        <f>IF($A210="","",VLOOKUP($A210,'Annex 2 Designated EHV charges'!$D:$O,3,0))</f>
        <v/>
      </c>
      <c r="D210" s="61" t="str">
        <f>IF($A210="","",VLOOKUP($A210,'Annex 2 Designated EHV charges'!$D:$O,4,0))</f>
        <v/>
      </c>
      <c r="E210" s="62" t="str">
        <f>IFERROR(IF(VLOOKUP($A210,'Annex 2 Designated EHV charges'!$D:$P,10,FALSE)=0,"",VLOOKUP($A210,'Annex 2 Designated EHV charges'!$D:$P,10,FALSE)),"")</f>
        <v/>
      </c>
      <c r="F210" s="63" t="str">
        <f>IFERROR(IF(VLOOKUP($A210,'Annex 2 Designated EHV charges'!$D:$P,11,FALSE)=0,"",VLOOKUP($A210,'Annex 2 Designated EHV charges'!$D:$P,11,FALSE)),"")</f>
        <v/>
      </c>
      <c r="G210" s="63" t="str">
        <f>IFERROR(IF(VLOOKUP($A210,'Annex 2 Designated EHV charges'!$D:$P,12,FALSE)=0,"",VLOOKUP($A210,'Annex 2 Designated EHV charges'!$D:$P,12,FALSE)),"")</f>
        <v/>
      </c>
      <c r="H210" s="53" t="str">
        <f>IFERROR(IF(VLOOKUP($A210,'Annex 2 Designated EHV charges'!$D:$P,13,FALSE)=0,"",VLOOKUP($A210,'Annex 2 Designated EHV charges'!$D:$P,13,FALSE)),"")</f>
        <v/>
      </c>
    </row>
    <row r="211" spans="1:8" x14ac:dyDescent="0.2">
      <c r="A211" s="53" t="str">
        <f t="array" ref="A211">IFERROR(INDEX('Annex 2 Designated EHV charges'!$D$11:$D$58, MATCH(0, IF(ISBLANK('Annex 2 Designated EHV charges'!$D$11:$D$58),1, COUNTIF(A$4:$A210, 'Annex 2 Designated EHV charges'!$D$11:$D$58)), 0)),"")</f>
        <v/>
      </c>
      <c r="B211" s="53" t="str">
        <f>IF($A211="","",VLOOKUP($A211,'Annex 2 Designated EHV charges'!$D:$O,2,0))</f>
        <v/>
      </c>
      <c r="C211" s="61" t="str">
        <f>IF($A211="","",VLOOKUP($A211,'Annex 2 Designated EHV charges'!$D:$O,3,0))</f>
        <v/>
      </c>
      <c r="D211" s="61" t="str">
        <f>IF($A211="","",VLOOKUP($A211,'Annex 2 Designated EHV charges'!$D:$O,4,0))</f>
        <v/>
      </c>
      <c r="E211" s="62" t="str">
        <f>IFERROR(IF(VLOOKUP($A211,'Annex 2 Designated EHV charges'!$D:$P,10,FALSE)=0,"",VLOOKUP($A211,'Annex 2 Designated EHV charges'!$D:$P,10,FALSE)),"")</f>
        <v/>
      </c>
      <c r="F211" s="63" t="str">
        <f>IFERROR(IF(VLOOKUP($A211,'Annex 2 Designated EHV charges'!$D:$P,11,FALSE)=0,"",VLOOKUP($A211,'Annex 2 Designated EHV charges'!$D:$P,11,FALSE)),"")</f>
        <v/>
      </c>
      <c r="G211" s="63" t="str">
        <f>IFERROR(IF(VLOOKUP($A211,'Annex 2 Designated EHV charges'!$D:$P,12,FALSE)=0,"",VLOOKUP($A211,'Annex 2 Designated EHV charges'!$D:$P,12,FALSE)),"")</f>
        <v/>
      </c>
      <c r="H211" s="53" t="str">
        <f>IFERROR(IF(VLOOKUP($A211,'Annex 2 Designated EHV charges'!$D:$P,13,FALSE)=0,"",VLOOKUP($A211,'Annex 2 Designated EHV charges'!$D:$P,13,FALSE)),"")</f>
        <v/>
      </c>
    </row>
    <row r="212" spans="1:8" x14ac:dyDescent="0.2">
      <c r="A212" s="53" t="str">
        <f t="array" ref="A212">IFERROR(INDEX('Annex 2 Designated EHV charges'!$D$11:$D$58, MATCH(0, IF(ISBLANK('Annex 2 Designated EHV charges'!$D$11:$D$58),1, COUNTIF(A$4:$A211, 'Annex 2 Designated EHV charges'!$D$11:$D$58)), 0)),"")</f>
        <v/>
      </c>
      <c r="B212" s="53" t="str">
        <f>IF($A212="","",VLOOKUP($A212,'Annex 2 Designated EHV charges'!$D:$O,2,0))</f>
        <v/>
      </c>
      <c r="C212" s="61" t="str">
        <f>IF($A212="","",VLOOKUP($A212,'Annex 2 Designated EHV charges'!$D:$O,3,0))</f>
        <v/>
      </c>
      <c r="D212" s="61" t="str">
        <f>IF($A212="","",VLOOKUP($A212,'Annex 2 Designated EHV charges'!$D:$O,4,0))</f>
        <v/>
      </c>
      <c r="E212" s="62" t="str">
        <f>IFERROR(IF(VLOOKUP($A212,'Annex 2 Designated EHV charges'!$D:$P,10,FALSE)=0,"",VLOOKUP($A212,'Annex 2 Designated EHV charges'!$D:$P,10,FALSE)),"")</f>
        <v/>
      </c>
      <c r="F212" s="63" t="str">
        <f>IFERROR(IF(VLOOKUP($A212,'Annex 2 Designated EHV charges'!$D:$P,11,FALSE)=0,"",VLOOKUP($A212,'Annex 2 Designated EHV charges'!$D:$P,11,FALSE)),"")</f>
        <v/>
      </c>
      <c r="G212" s="63" t="str">
        <f>IFERROR(IF(VLOOKUP($A212,'Annex 2 Designated EHV charges'!$D:$P,12,FALSE)=0,"",VLOOKUP($A212,'Annex 2 Designated EHV charges'!$D:$P,12,FALSE)),"")</f>
        <v/>
      </c>
      <c r="H212" s="53" t="str">
        <f>IFERROR(IF(VLOOKUP($A212,'Annex 2 Designated EHV charges'!$D:$P,13,FALSE)=0,"",VLOOKUP($A212,'Annex 2 Designated EHV charges'!$D:$P,13,FALSE)),"")</f>
        <v/>
      </c>
    </row>
    <row r="213" spans="1:8" x14ac:dyDescent="0.2">
      <c r="A213" s="53" t="str">
        <f t="array" ref="A213">IFERROR(INDEX('Annex 2 Designated EHV charges'!$D$11:$D$58, MATCH(0, IF(ISBLANK('Annex 2 Designated EHV charges'!$D$11:$D$58),1, COUNTIF(A$4:$A212, 'Annex 2 Designated EHV charges'!$D$11:$D$58)), 0)),"")</f>
        <v/>
      </c>
      <c r="B213" s="53" t="str">
        <f>IF($A213="","",VLOOKUP($A213,'Annex 2 Designated EHV charges'!$D:$O,2,0))</f>
        <v/>
      </c>
      <c r="C213" s="61" t="str">
        <f>IF($A213="","",VLOOKUP($A213,'Annex 2 Designated EHV charges'!$D:$O,3,0))</f>
        <v/>
      </c>
      <c r="D213" s="61" t="str">
        <f>IF($A213="","",VLOOKUP($A213,'Annex 2 Designated EHV charges'!$D:$O,4,0))</f>
        <v/>
      </c>
      <c r="E213" s="62" t="str">
        <f>IFERROR(IF(VLOOKUP($A213,'Annex 2 Designated EHV charges'!$D:$P,10,FALSE)=0,"",VLOOKUP($A213,'Annex 2 Designated EHV charges'!$D:$P,10,FALSE)),"")</f>
        <v/>
      </c>
      <c r="F213" s="63" t="str">
        <f>IFERROR(IF(VLOOKUP($A213,'Annex 2 Designated EHV charges'!$D:$P,11,FALSE)=0,"",VLOOKUP($A213,'Annex 2 Designated EHV charges'!$D:$P,11,FALSE)),"")</f>
        <v/>
      </c>
      <c r="G213" s="63" t="str">
        <f>IFERROR(IF(VLOOKUP($A213,'Annex 2 Designated EHV charges'!$D:$P,12,FALSE)=0,"",VLOOKUP($A213,'Annex 2 Designated EHV charges'!$D:$P,12,FALSE)),"")</f>
        <v/>
      </c>
      <c r="H213" s="53" t="str">
        <f>IFERROR(IF(VLOOKUP($A213,'Annex 2 Designated EHV charges'!$D:$P,13,FALSE)=0,"",VLOOKUP($A213,'Annex 2 Designated EHV charges'!$D:$P,13,FALSE)),"")</f>
        <v/>
      </c>
    </row>
    <row r="214" spans="1:8" x14ac:dyDescent="0.2">
      <c r="A214" s="53" t="str">
        <f t="array" ref="A214">IFERROR(INDEX('Annex 2 Designated EHV charges'!$D$11:$D$58, MATCH(0, IF(ISBLANK('Annex 2 Designated EHV charges'!$D$11:$D$58),1, COUNTIF(A$4:$A213, 'Annex 2 Designated EHV charges'!$D$11:$D$58)), 0)),"")</f>
        <v/>
      </c>
      <c r="B214" s="53" t="str">
        <f>IF($A214="","",VLOOKUP($A214,'Annex 2 Designated EHV charges'!$D:$O,2,0))</f>
        <v/>
      </c>
      <c r="C214" s="61" t="str">
        <f>IF($A214="","",VLOOKUP($A214,'Annex 2 Designated EHV charges'!$D:$O,3,0))</f>
        <v/>
      </c>
      <c r="D214" s="61" t="str">
        <f>IF($A214="","",VLOOKUP($A214,'Annex 2 Designated EHV charges'!$D:$O,4,0))</f>
        <v/>
      </c>
      <c r="E214" s="62" t="str">
        <f>IFERROR(IF(VLOOKUP($A214,'Annex 2 Designated EHV charges'!$D:$P,10,FALSE)=0,"",VLOOKUP($A214,'Annex 2 Designated EHV charges'!$D:$P,10,FALSE)),"")</f>
        <v/>
      </c>
      <c r="F214" s="63" t="str">
        <f>IFERROR(IF(VLOOKUP($A214,'Annex 2 Designated EHV charges'!$D:$P,11,FALSE)=0,"",VLOOKUP($A214,'Annex 2 Designated EHV charges'!$D:$P,11,FALSE)),"")</f>
        <v/>
      </c>
      <c r="G214" s="63" t="str">
        <f>IFERROR(IF(VLOOKUP($A214,'Annex 2 Designated EHV charges'!$D:$P,12,FALSE)=0,"",VLOOKUP($A214,'Annex 2 Designated EHV charges'!$D:$P,12,FALSE)),"")</f>
        <v/>
      </c>
      <c r="H214" s="53" t="str">
        <f>IFERROR(IF(VLOOKUP($A214,'Annex 2 Designated EHV charges'!$D:$P,13,FALSE)=0,"",VLOOKUP($A214,'Annex 2 Designated EHV charges'!$D:$P,13,FALSE)),"")</f>
        <v/>
      </c>
    </row>
    <row r="215" spans="1:8" x14ac:dyDescent="0.2">
      <c r="A215" s="53" t="str">
        <f t="array" ref="A215">IFERROR(INDEX('Annex 2 Designated EHV charges'!$D$11:$D$58, MATCH(0, IF(ISBLANK('Annex 2 Designated EHV charges'!$D$11:$D$58),1, COUNTIF(A$4:$A214, 'Annex 2 Designated EHV charges'!$D$11:$D$58)), 0)),"")</f>
        <v/>
      </c>
      <c r="B215" s="53" t="str">
        <f>IF($A215="","",VLOOKUP($A215,'Annex 2 Designated EHV charges'!$D:$O,2,0))</f>
        <v/>
      </c>
      <c r="C215" s="61" t="str">
        <f>IF($A215="","",VLOOKUP($A215,'Annex 2 Designated EHV charges'!$D:$O,3,0))</f>
        <v/>
      </c>
      <c r="D215" s="61" t="str">
        <f>IF($A215="","",VLOOKUP($A215,'Annex 2 Designated EHV charges'!$D:$O,4,0))</f>
        <v/>
      </c>
      <c r="E215" s="62" t="str">
        <f>IFERROR(IF(VLOOKUP($A215,'Annex 2 Designated EHV charges'!$D:$P,10,FALSE)=0,"",VLOOKUP($A215,'Annex 2 Designated EHV charges'!$D:$P,10,FALSE)),"")</f>
        <v/>
      </c>
      <c r="F215" s="63" t="str">
        <f>IFERROR(IF(VLOOKUP($A215,'Annex 2 Designated EHV charges'!$D:$P,11,FALSE)=0,"",VLOOKUP($A215,'Annex 2 Designated EHV charges'!$D:$P,11,FALSE)),"")</f>
        <v/>
      </c>
      <c r="G215" s="63" t="str">
        <f>IFERROR(IF(VLOOKUP($A215,'Annex 2 Designated EHV charges'!$D:$P,12,FALSE)=0,"",VLOOKUP($A215,'Annex 2 Designated EHV charges'!$D:$P,12,FALSE)),"")</f>
        <v/>
      </c>
      <c r="H215" s="53" t="str">
        <f>IFERROR(IF(VLOOKUP($A215,'Annex 2 Designated EHV charges'!$D:$P,13,FALSE)=0,"",VLOOKUP($A215,'Annex 2 Designated EHV charges'!$D:$P,13,FALSE)),"")</f>
        <v/>
      </c>
    </row>
    <row r="216" spans="1:8" x14ac:dyDescent="0.2">
      <c r="A216" s="53" t="str">
        <f t="array" ref="A216">IFERROR(INDEX('Annex 2 Designated EHV charges'!$D$11:$D$58, MATCH(0, IF(ISBLANK('Annex 2 Designated EHV charges'!$D$11:$D$58),1, COUNTIF(A$4:$A215, 'Annex 2 Designated EHV charges'!$D$11:$D$58)), 0)),"")</f>
        <v/>
      </c>
      <c r="B216" s="53" t="str">
        <f>IF($A216="","",VLOOKUP($A216,'Annex 2 Designated EHV charges'!$D:$O,2,0))</f>
        <v/>
      </c>
      <c r="C216" s="61" t="str">
        <f>IF($A216="","",VLOOKUP($A216,'Annex 2 Designated EHV charges'!$D:$O,3,0))</f>
        <v/>
      </c>
      <c r="D216" s="61" t="str">
        <f>IF($A216="","",VLOOKUP($A216,'Annex 2 Designated EHV charges'!$D:$O,4,0))</f>
        <v/>
      </c>
      <c r="E216" s="62" t="str">
        <f>IFERROR(IF(VLOOKUP($A216,'Annex 2 Designated EHV charges'!$D:$P,10,FALSE)=0,"",VLOOKUP($A216,'Annex 2 Designated EHV charges'!$D:$P,10,FALSE)),"")</f>
        <v/>
      </c>
      <c r="F216" s="63" t="str">
        <f>IFERROR(IF(VLOOKUP($A216,'Annex 2 Designated EHV charges'!$D:$P,11,FALSE)=0,"",VLOOKUP($A216,'Annex 2 Designated EHV charges'!$D:$P,11,FALSE)),"")</f>
        <v/>
      </c>
      <c r="G216" s="63" t="str">
        <f>IFERROR(IF(VLOOKUP($A216,'Annex 2 Designated EHV charges'!$D:$P,12,FALSE)=0,"",VLOOKUP($A216,'Annex 2 Designated EHV charges'!$D:$P,12,FALSE)),"")</f>
        <v/>
      </c>
      <c r="H216" s="53" t="str">
        <f>IFERROR(IF(VLOOKUP($A216,'Annex 2 Designated EHV charges'!$D:$P,13,FALSE)=0,"",VLOOKUP($A216,'Annex 2 Designated EHV charges'!$D:$P,13,FALSE)),"")</f>
        <v/>
      </c>
    </row>
    <row r="217" spans="1:8" x14ac:dyDescent="0.2">
      <c r="A217" s="53" t="str">
        <f t="array" ref="A217">IFERROR(INDEX('Annex 2 Designated EHV charges'!$D$11:$D$58, MATCH(0, IF(ISBLANK('Annex 2 Designated EHV charges'!$D$11:$D$58),1, COUNTIF(A$4:$A216, 'Annex 2 Designated EHV charges'!$D$11:$D$58)), 0)),"")</f>
        <v/>
      </c>
      <c r="B217" s="53" t="str">
        <f>IF($A217="","",VLOOKUP($A217,'Annex 2 Designated EHV charges'!$D:$O,2,0))</f>
        <v/>
      </c>
      <c r="C217" s="61" t="str">
        <f>IF($A217="","",VLOOKUP($A217,'Annex 2 Designated EHV charges'!$D:$O,3,0))</f>
        <v/>
      </c>
      <c r="D217" s="61" t="str">
        <f>IF($A217="","",VLOOKUP($A217,'Annex 2 Designated EHV charges'!$D:$O,4,0))</f>
        <v/>
      </c>
      <c r="E217" s="62" t="str">
        <f>IFERROR(IF(VLOOKUP($A217,'Annex 2 Designated EHV charges'!$D:$P,10,FALSE)=0,"",VLOOKUP($A217,'Annex 2 Designated EHV charges'!$D:$P,10,FALSE)),"")</f>
        <v/>
      </c>
      <c r="F217" s="63" t="str">
        <f>IFERROR(IF(VLOOKUP($A217,'Annex 2 Designated EHV charges'!$D:$P,11,FALSE)=0,"",VLOOKUP($A217,'Annex 2 Designated EHV charges'!$D:$P,11,FALSE)),"")</f>
        <v/>
      </c>
      <c r="G217" s="63" t="str">
        <f>IFERROR(IF(VLOOKUP($A217,'Annex 2 Designated EHV charges'!$D:$P,12,FALSE)=0,"",VLOOKUP($A217,'Annex 2 Designated EHV charges'!$D:$P,12,FALSE)),"")</f>
        <v/>
      </c>
      <c r="H217" s="53" t="str">
        <f>IFERROR(IF(VLOOKUP($A217,'Annex 2 Designated EHV charges'!$D:$P,13,FALSE)=0,"",VLOOKUP($A217,'Annex 2 Designated EHV charges'!$D:$P,13,FALSE)),"")</f>
        <v/>
      </c>
    </row>
    <row r="218" spans="1:8" x14ac:dyDescent="0.2">
      <c r="A218" s="53" t="str">
        <f t="array" ref="A218">IFERROR(INDEX('Annex 2 Designated EHV charges'!$D$11:$D$58, MATCH(0, IF(ISBLANK('Annex 2 Designated EHV charges'!$D$11:$D$58),1, COUNTIF(A$4:$A217, 'Annex 2 Designated EHV charges'!$D$11:$D$58)), 0)),"")</f>
        <v/>
      </c>
      <c r="B218" s="53" t="str">
        <f>IF($A218="","",VLOOKUP($A218,'Annex 2 Designated EHV charges'!$D:$O,2,0))</f>
        <v/>
      </c>
      <c r="C218" s="61" t="str">
        <f>IF($A218="","",VLOOKUP($A218,'Annex 2 Designated EHV charges'!$D:$O,3,0))</f>
        <v/>
      </c>
      <c r="D218" s="61" t="str">
        <f>IF($A218="","",VLOOKUP($A218,'Annex 2 Designated EHV charges'!$D:$O,4,0))</f>
        <v/>
      </c>
      <c r="E218" s="62" t="str">
        <f>IFERROR(IF(VLOOKUP($A218,'Annex 2 Designated EHV charges'!$D:$P,10,FALSE)=0,"",VLOOKUP($A218,'Annex 2 Designated EHV charges'!$D:$P,10,FALSE)),"")</f>
        <v/>
      </c>
      <c r="F218" s="63" t="str">
        <f>IFERROR(IF(VLOOKUP($A218,'Annex 2 Designated EHV charges'!$D:$P,11,FALSE)=0,"",VLOOKUP($A218,'Annex 2 Designated EHV charges'!$D:$P,11,FALSE)),"")</f>
        <v/>
      </c>
      <c r="G218" s="63" t="str">
        <f>IFERROR(IF(VLOOKUP($A218,'Annex 2 Designated EHV charges'!$D:$P,12,FALSE)=0,"",VLOOKUP($A218,'Annex 2 Designated EHV charges'!$D:$P,12,FALSE)),"")</f>
        <v/>
      </c>
      <c r="H218" s="53" t="str">
        <f>IFERROR(IF(VLOOKUP($A218,'Annex 2 Designated EHV charges'!$D:$P,13,FALSE)=0,"",VLOOKUP($A218,'Annex 2 Designated EHV charges'!$D:$P,13,FALSE)),"")</f>
        <v/>
      </c>
    </row>
    <row r="219" spans="1:8" x14ac:dyDescent="0.2">
      <c r="A219" s="53" t="str">
        <f t="array" ref="A219">IFERROR(INDEX('Annex 2 Designated EHV charges'!$D$11:$D$58, MATCH(0, IF(ISBLANK('Annex 2 Designated EHV charges'!$D$11:$D$58),1, COUNTIF(A$4:$A218, 'Annex 2 Designated EHV charges'!$D$11:$D$58)), 0)),"")</f>
        <v/>
      </c>
      <c r="B219" s="53" t="str">
        <f>IF($A219="","",VLOOKUP($A219,'Annex 2 Designated EHV charges'!$D:$O,2,0))</f>
        <v/>
      </c>
      <c r="C219" s="61" t="str">
        <f>IF($A219="","",VLOOKUP($A219,'Annex 2 Designated EHV charges'!$D:$O,3,0))</f>
        <v/>
      </c>
      <c r="D219" s="61" t="str">
        <f>IF($A219="","",VLOOKUP($A219,'Annex 2 Designated EHV charges'!$D:$O,4,0))</f>
        <v/>
      </c>
      <c r="E219" s="62" t="str">
        <f>IFERROR(IF(VLOOKUP($A219,'Annex 2 Designated EHV charges'!$D:$P,10,FALSE)=0,"",VLOOKUP($A219,'Annex 2 Designated EHV charges'!$D:$P,10,FALSE)),"")</f>
        <v/>
      </c>
      <c r="F219" s="63" t="str">
        <f>IFERROR(IF(VLOOKUP($A219,'Annex 2 Designated EHV charges'!$D:$P,11,FALSE)=0,"",VLOOKUP($A219,'Annex 2 Designated EHV charges'!$D:$P,11,FALSE)),"")</f>
        <v/>
      </c>
      <c r="G219" s="63" t="str">
        <f>IFERROR(IF(VLOOKUP($A219,'Annex 2 Designated EHV charges'!$D:$P,12,FALSE)=0,"",VLOOKUP($A219,'Annex 2 Designated EHV charges'!$D:$P,12,FALSE)),"")</f>
        <v/>
      </c>
      <c r="H219" s="53" t="str">
        <f>IFERROR(IF(VLOOKUP($A219,'Annex 2 Designated EHV charges'!$D:$P,13,FALSE)=0,"",VLOOKUP($A219,'Annex 2 Designated EHV charges'!$D:$P,13,FALSE)),"")</f>
        <v/>
      </c>
    </row>
    <row r="220" spans="1:8" x14ac:dyDescent="0.2">
      <c r="A220" s="53" t="str">
        <f t="array" ref="A220">IFERROR(INDEX('Annex 2 Designated EHV charges'!$D$11:$D$58, MATCH(0, IF(ISBLANK('Annex 2 Designated EHV charges'!$D$11:$D$58),1, COUNTIF(A$4:$A219, 'Annex 2 Designated EHV charges'!$D$11:$D$58)), 0)),"")</f>
        <v/>
      </c>
      <c r="B220" s="53" t="str">
        <f>IF($A220="","",VLOOKUP($A220,'Annex 2 Designated EHV charges'!$D:$O,2,0))</f>
        <v/>
      </c>
      <c r="C220" s="61" t="str">
        <f>IF($A220="","",VLOOKUP($A220,'Annex 2 Designated EHV charges'!$D:$O,3,0))</f>
        <v/>
      </c>
      <c r="D220" s="61" t="str">
        <f>IF($A220="","",VLOOKUP($A220,'Annex 2 Designated EHV charges'!$D:$O,4,0))</f>
        <v/>
      </c>
      <c r="E220" s="62" t="str">
        <f>IFERROR(IF(VLOOKUP($A220,'Annex 2 Designated EHV charges'!$D:$P,10,FALSE)=0,"",VLOOKUP($A220,'Annex 2 Designated EHV charges'!$D:$P,10,FALSE)),"")</f>
        <v/>
      </c>
      <c r="F220" s="63" t="str">
        <f>IFERROR(IF(VLOOKUP($A220,'Annex 2 Designated EHV charges'!$D:$P,11,FALSE)=0,"",VLOOKUP($A220,'Annex 2 Designated EHV charges'!$D:$P,11,FALSE)),"")</f>
        <v/>
      </c>
      <c r="G220" s="63" t="str">
        <f>IFERROR(IF(VLOOKUP($A220,'Annex 2 Designated EHV charges'!$D:$P,12,FALSE)=0,"",VLOOKUP($A220,'Annex 2 Designated EHV charges'!$D:$P,12,FALSE)),"")</f>
        <v/>
      </c>
      <c r="H220" s="53" t="str">
        <f>IFERROR(IF(VLOOKUP($A220,'Annex 2 Designated EHV charges'!$D:$P,13,FALSE)=0,"",VLOOKUP($A220,'Annex 2 Designated EHV charges'!$D:$P,13,FALSE)),"")</f>
        <v/>
      </c>
    </row>
    <row r="221" spans="1:8" x14ac:dyDescent="0.2">
      <c r="A221" s="53" t="str">
        <f t="array" ref="A221">IFERROR(INDEX('Annex 2 Designated EHV charges'!$D$11:$D$58, MATCH(0, IF(ISBLANK('Annex 2 Designated EHV charges'!$D$11:$D$58),1, COUNTIF(A$4:$A220, 'Annex 2 Designated EHV charges'!$D$11:$D$58)), 0)),"")</f>
        <v/>
      </c>
      <c r="B221" s="53" t="str">
        <f>IF($A221="","",VLOOKUP($A221,'Annex 2 Designated EHV charges'!$D:$O,2,0))</f>
        <v/>
      </c>
      <c r="C221" s="61" t="str">
        <f>IF($A221="","",VLOOKUP($A221,'Annex 2 Designated EHV charges'!$D:$O,3,0))</f>
        <v/>
      </c>
      <c r="D221" s="61" t="str">
        <f>IF($A221="","",VLOOKUP($A221,'Annex 2 Designated EHV charges'!$D:$O,4,0))</f>
        <v/>
      </c>
      <c r="E221" s="62" t="str">
        <f>IFERROR(IF(VLOOKUP($A221,'Annex 2 Designated EHV charges'!$D:$P,10,FALSE)=0,"",VLOOKUP($A221,'Annex 2 Designated EHV charges'!$D:$P,10,FALSE)),"")</f>
        <v/>
      </c>
      <c r="F221" s="63" t="str">
        <f>IFERROR(IF(VLOOKUP($A221,'Annex 2 Designated EHV charges'!$D:$P,11,FALSE)=0,"",VLOOKUP($A221,'Annex 2 Designated EHV charges'!$D:$P,11,FALSE)),"")</f>
        <v/>
      </c>
      <c r="G221" s="63" t="str">
        <f>IFERROR(IF(VLOOKUP($A221,'Annex 2 Designated EHV charges'!$D:$P,12,FALSE)=0,"",VLOOKUP($A221,'Annex 2 Designated EHV charges'!$D:$P,12,FALSE)),"")</f>
        <v/>
      </c>
      <c r="H221" s="53" t="str">
        <f>IFERROR(IF(VLOOKUP($A221,'Annex 2 Designated EHV charges'!$D:$P,13,FALSE)=0,"",VLOOKUP($A221,'Annex 2 Designated EHV charges'!$D:$P,13,FALSE)),"")</f>
        <v/>
      </c>
    </row>
    <row r="222" spans="1:8" x14ac:dyDescent="0.2">
      <c r="A222" s="53" t="str">
        <f t="array" ref="A222">IFERROR(INDEX('Annex 2 Designated EHV charges'!$D$11:$D$58, MATCH(0, IF(ISBLANK('Annex 2 Designated EHV charges'!$D$11:$D$58),1, COUNTIF(A$4:$A221, 'Annex 2 Designated EHV charges'!$D$11:$D$58)), 0)),"")</f>
        <v/>
      </c>
      <c r="B222" s="53" t="str">
        <f>IF($A222="","",VLOOKUP($A222,'Annex 2 Designated EHV charges'!$D:$O,2,0))</f>
        <v/>
      </c>
      <c r="C222" s="61" t="str">
        <f>IF($A222="","",VLOOKUP($A222,'Annex 2 Designated EHV charges'!$D:$O,3,0))</f>
        <v/>
      </c>
      <c r="D222" s="61" t="str">
        <f>IF($A222="","",VLOOKUP($A222,'Annex 2 Designated EHV charges'!$D:$O,4,0))</f>
        <v/>
      </c>
      <c r="E222" s="62" t="str">
        <f>IFERROR(IF(VLOOKUP($A222,'Annex 2 Designated EHV charges'!$D:$P,10,FALSE)=0,"",VLOOKUP($A222,'Annex 2 Designated EHV charges'!$D:$P,10,FALSE)),"")</f>
        <v/>
      </c>
      <c r="F222" s="63" t="str">
        <f>IFERROR(IF(VLOOKUP($A222,'Annex 2 Designated EHV charges'!$D:$P,11,FALSE)=0,"",VLOOKUP($A222,'Annex 2 Designated EHV charges'!$D:$P,11,FALSE)),"")</f>
        <v/>
      </c>
      <c r="G222" s="63" t="str">
        <f>IFERROR(IF(VLOOKUP($A222,'Annex 2 Designated EHV charges'!$D:$P,12,FALSE)=0,"",VLOOKUP($A222,'Annex 2 Designated EHV charges'!$D:$P,12,FALSE)),"")</f>
        <v/>
      </c>
      <c r="H222" s="53" t="str">
        <f>IFERROR(IF(VLOOKUP($A222,'Annex 2 Designated EHV charges'!$D:$P,13,FALSE)=0,"",VLOOKUP($A222,'Annex 2 Designated EHV charges'!$D:$P,13,FALSE)),"")</f>
        <v/>
      </c>
    </row>
    <row r="223" spans="1:8" x14ac:dyDescent="0.2">
      <c r="A223" s="53" t="str">
        <f t="array" ref="A223">IFERROR(INDEX('Annex 2 Designated EHV charges'!$D$11:$D$58, MATCH(0, IF(ISBLANK('Annex 2 Designated EHV charges'!$D$11:$D$58),1, COUNTIF(A$4:$A222, 'Annex 2 Designated EHV charges'!$D$11:$D$58)), 0)),"")</f>
        <v/>
      </c>
      <c r="B223" s="53" t="str">
        <f>IF($A223="","",VLOOKUP($A223,'Annex 2 Designated EHV charges'!$D:$O,2,0))</f>
        <v/>
      </c>
      <c r="C223" s="61" t="str">
        <f>IF($A223="","",VLOOKUP($A223,'Annex 2 Designated EHV charges'!$D:$O,3,0))</f>
        <v/>
      </c>
      <c r="D223" s="61" t="str">
        <f>IF($A223="","",VLOOKUP($A223,'Annex 2 Designated EHV charges'!$D:$O,4,0))</f>
        <v/>
      </c>
      <c r="E223" s="62" t="str">
        <f>IFERROR(IF(VLOOKUP($A223,'Annex 2 Designated EHV charges'!$D:$P,10,FALSE)=0,"",VLOOKUP($A223,'Annex 2 Designated EHV charges'!$D:$P,10,FALSE)),"")</f>
        <v/>
      </c>
      <c r="F223" s="63" t="str">
        <f>IFERROR(IF(VLOOKUP($A223,'Annex 2 Designated EHV charges'!$D:$P,11,FALSE)=0,"",VLOOKUP($A223,'Annex 2 Designated EHV charges'!$D:$P,11,FALSE)),"")</f>
        <v/>
      </c>
      <c r="G223" s="63" t="str">
        <f>IFERROR(IF(VLOOKUP($A223,'Annex 2 Designated EHV charges'!$D:$P,12,FALSE)=0,"",VLOOKUP($A223,'Annex 2 Designated EHV charges'!$D:$P,12,FALSE)),"")</f>
        <v/>
      </c>
      <c r="H223" s="53" t="str">
        <f>IFERROR(IF(VLOOKUP($A223,'Annex 2 Designated EHV charges'!$D:$P,13,FALSE)=0,"",VLOOKUP($A223,'Annex 2 Designated EHV charges'!$D:$P,13,FALSE)),"")</f>
        <v/>
      </c>
    </row>
    <row r="224" spans="1:8" x14ac:dyDescent="0.2">
      <c r="A224" s="53" t="str">
        <f t="array" ref="A224">IFERROR(INDEX('Annex 2 Designated EHV charges'!$D$11:$D$58, MATCH(0, IF(ISBLANK('Annex 2 Designated EHV charges'!$D$11:$D$58),1, COUNTIF(A$4:$A223, 'Annex 2 Designated EHV charges'!$D$11:$D$58)), 0)),"")</f>
        <v/>
      </c>
      <c r="B224" s="53" t="str">
        <f>IF($A224="","",VLOOKUP($A224,'Annex 2 Designated EHV charges'!$D:$O,2,0))</f>
        <v/>
      </c>
      <c r="C224" s="61" t="str">
        <f>IF($A224="","",VLOOKUP($A224,'Annex 2 Designated EHV charges'!$D:$O,3,0))</f>
        <v/>
      </c>
      <c r="D224" s="61" t="str">
        <f>IF($A224="","",VLOOKUP($A224,'Annex 2 Designated EHV charges'!$D:$O,4,0))</f>
        <v/>
      </c>
      <c r="E224" s="62" t="str">
        <f>IFERROR(IF(VLOOKUP($A224,'Annex 2 Designated EHV charges'!$D:$P,10,FALSE)=0,"",VLOOKUP($A224,'Annex 2 Designated EHV charges'!$D:$P,10,FALSE)),"")</f>
        <v/>
      </c>
      <c r="F224" s="63" t="str">
        <f>IFERROR(IF(VLOOKUP($A224,'Annex 2 Designated EHV charges'!$D:$P,11,FALSE)=0,"",VLOOKUP($A224,'Annex 2 Designated EHV charges'!$D:$P,11,FALSE)),"")</f>
        <v/>
      </c>
      <c r="G224" s="63" t="str">
        <f>IFERROR(IF(VLOOKUP($A224,'Annex 2 Designated EHV charges'!$D:$P,12,FALSE)=0,"",VLOOKUP($A224,'Annex 2 Designated EHV charges'!$D:$P,12,FALSE)),"")</f>
        <v/>
      </c>
      <c r="H224" s="53" t="str">
        <f>IFERROR(IF(VLOOKUP($A224,'Annex 2 Designated EHV charges'!$D:$P,13,FALSE)=0,"",VLOOKUP($A224,'Annex 2 Designated EHV charges'!$D:$P,13,FALSE)),"")</f>
        <v/>
      </c>
    </row>
    <row r="225" spans="1:8" x14ac:dyDescent="0.2">
      <c r="A225" s="53" t="str">
        <f t="array" ref="A225">IFERROR(INDEX('Annex 2 Designated EHV charges'!$D$11:$D$58, MATCH(0, IF(ISBLANK('Annex 2 Designated EHV charges'!$D$11:$D$58),1, COUNTIF(A$4:$A224, 'Annex 2 Designated EHV charges'!$D$11:$D$58)), 0)),"")</f>
        <v/>
      </c>
      <c r="B225" s="53" t="str">
        <f>IF($A225="","",VLOOKUP($A225,'Annex 2 Designated EHV charges'!$D:$O,2,0))</f>
        <v/>
      </c>
      <c r="C225" s="61" t="str">
        <f>IF($A225="","",VLOOKUP($A225,'Annex 2 Designated EHV charges'!$D:$O,3,0))</f>
        <v/>
      </c>
      <c r="D225" s="61" t="str">
        <f>IF($A225="","",VLOOKUP($A225,'Annex 2 Designated EHV charges'!$D:$O,4,0))</f>
        <v/>
      </c>
      <c r="E225" s="62" t="str">
        <f>IFERROR(IF(VLOOKUP($A225,'Annex 2 Designated EHV charges'!$D:$P,10,FALSE)=0,"",VLOOKUP($A225,'Annex 2 Designated EHV charges'!$D:$P,10,FALSE)),"")</f>
        <v/>
      </c>
      <c r="F225" s="63" t="str">
        <f>IFERROR(IF(VLOOKUP($A225,'Annex 2 Designated EHV charges'!$D:$P,11,FALSE)=0,"",VLOOKUP($A225,'Annex 2 Designated EHV charges'!$D:$P,11,FALSE)),"")</f>
        <v/>
      </c>
      <c r="G225" s="63" t="str">
        <f>IFERROR(IF(VLOOKUP($A225,'Annex 2 Designated EHV charges'!$D:$P,12,FALSE)=0,"",VLOOKUP($A225,'Annex 2 Designated EHV charges'!$D:$P,12,FALSE)),"")</f>
        <v/>
      </c>
      <c r="H225" s="53" t="str">
        <f>IFERROR(IF(VLOOKUP($A225,'Annex 2 Designated EHV charges'!$D:$P,13,FALSE)=0,"",VLOOKUP($A225,'Annex 2 Designated EHV charges'!$D:$P,13,FALSE)),"")</f>
        <v/>
      </c>
    </row>
    <row r="226" spans="1:8" x14ac:dyDescent="0.2">
      <c r="A226" s="53" t="str">
        <f t="array" ref="A226">IFERROR(INDEX('Annex 2 Designated EHV charges'!$D$11:$D$58, MATCH(0, IF(ISBLANK('Annex 2 Designated EHV charges'!$D$11:$D$58),1, COUNTIF(A$4:$A225, 'Annex 2 Designated EHV charges'!$D$11:$D$58)), 0)),"")</f>
        <v/>
      </c>
      <c r="B226" s="53" t="str">
        <f>IF($A226="","",VLOOKUP($A226,'Annex 2 Designated EHV charges'!$D:$O,2,0))</f>
        <v/>
      </c>
      <c r="C226" s="61" t="str">
        <f>IF($A226="","",VLOOKUP($A226,'Annex 2 Designated EHV charges'!$D:$O,3,0))</f>
        <v/>
      </c>
      <c r="D226" s="61" t="str">
        <f>IF($A226="","",VLOOKUP($A226,'Annex 2 Designated EHV charges'!$D:$O,4,0))</f>
        <v/>
      </c>
      <c r="E226" s="62" t="str">
        <f>IFERROR(IF(VLOOKUP($A226,'Annex 2 Designated EHV charges'!$D:$P,10,FALSE)=0,"",VLOOKUP($A226,'Annex 2 Designated EHV charges'!$D:$P,10,FALSE)),"")</f>
        <v/>
      </c>
      <c r="F226" s="63" t="str">
        <f>IFERROR(IF(VLOOKUP($A226,'Annex 2 Designated EHV charges'!$D:$P,11,FALSE)=0,"",VLOOKUP($A226,'Annex 2 Designated EHV charges'!$D:$P,11,FALSE)),"")</f>
        <v/>
      </c>
      <c r="G226" s="63" t="str">
        <f>IFERROR(IF(VLOOKUP($A226,'Annex 2 Designated EHV charges'!$D:$P,12,FALSE)=0,"",VLOOKUP($A226,'Annex 2 Designated EHV charges'!$D:$P,12,FALSE)),"")</f>
        <v/>
      </c>
      <c r="H226" s="53" t="str">
        <f>IFERROR(IF(VLOOKUP($A226,'Annex 2 Designated EHV charges'!$D:$P,13,FALSE)=0,"",VLOOKUP($A226,'Annex 2 Designated EHV charges'!$D:$P,13,FALSE)),"")</f>
        <v/>
      </c>
    </row>
    <row r="227" spans="1:8" x14ac:dyDescent="0.2">
      <c r="A227" s="53" t="str">
        <f t="array" ref="A227">IFERROR(INDEX('Annex 2 Designated EHV charges'!$D$11:$D$58, MATCH(0, IF(ISBLANK('Annex 2 Designated EHV charges'!$D$11:$D$58),1, COUNTIF(A$4:$A226, 'Annex 2 Designated EHV charges'!$D$11:$D$58)), 0)),"")</f>
        <v/>
      </c>
      <c r="B227" s="53" t="str">
        <f>IF($A227="","",VLOOKUP($A227,'Annex 2 Designated EHV charges'!$D:$O,2,0))</f>
        <v/>
      </c>
      <c r="C227" s="61" t="str">
        <f>IF($A227="","",VLOOKUP($A227,'Annex 2 Designated EHV charges'!$D:$O,3,0))</f>
        <v/>
      </c>
      <c r="D227" s="61" t="str">
        <f>IF($A227="","",VLOOKUP($A227,'Annex 2 Designated EHV charges'!$D:$O,4,0))</f>
        <v/>
      </c>
      <c r="E227" s="62" t="str">
        <f>IFERROR(IF(VLOOKUP($A227,'Annex 2 Designated EHV charges'!$D:$P,10,FALSE)=0,"",VLOOKUP($A227,'Annex 2 Designated EHV charges'!$D:$P,10,FALSE)),"")</f>
        <v/>
      </c>
      <c r="F227" s="63" t="str">
        <f>IFERROR(IF(VLOOKUP($A227,'Annex 2 Designated EHV charges'!$D:$P,11,FALSE)=0,"",VLOOKUP($A227,'Annex 2 Designated EHV charges'!$D:$P,11,FALSE)),"")</f>
        <v/>
      </c>
      <c r="G227" s="63" t="str">
        <f>IFERROR(IF(VLOOKUP($A227,'Annex 2 Designated EHV charges'!$D:$P,12,FALSE)=0,"",VLOOKUP($A227,'Annex 2 Designated EHV charges'!$D:$P,12,FALSE)),"")</f>
        <v/>
      </c>
      <c r="H227" s="53" t="str">
        <f>IFERROR(IF(VLOOKUP($A227,'Annex 2 Designated EHV charges'!$D:$P,13,FALSE)=0,"",VLOOKUP($A227,'Annex 2 Designated EHV charges'!$D:$P,13,FALSE)),"")</f>
        <v/>
      </c>
    </row>
    <row r="228" spans="1:8" x14ac:dyDescent="0.2">
      <c r="A228" s="53" t="str">
        <f t="array" ref="A228">IFERROR(INDEX('Annex 2 Designated EHV charges'!$D$11:$D$58, MATCH(0, IF(ISBLANK('Annex 2 Designated EHV charges'!$D$11:$D$58),1, COUNTIF(A$4:$A227, 'Annex 2 Designated EHV charges'!$D$11:$D$58)), 0)),"")</f>
        <v/>
      </c>
      <c r="B228" s="53" t="str">
        <f>IF($A228="","",VLOOKUP($A228,'Annex 2 Designated EHV charges'!$D:$O,2,0))</f>
        <v/>
      </c>
      <c r="C228" s="61" t="str">
        <f>IF($A228="","",VLOOKUP($A228,'Annex 2 Designated EHV charges'!$D:$O,3,0))</f>
        <v/>
      </c>
      <c r="D228" s="61" t="str">
        <f>IF($A228="","",VLOOKUP($A228,'Annex 2 Designated EHV charges'!$D:$O,4,0))</f>
        <v/>
      </c>
      <c r="E228" s="62" t="str">
        <f>IFERROR(IF(VLOOKUP($A228,'Annex 2 Designated EHV charges'!$D:$P,10,FALSE)=0,"",VLOOKUP($A228,'Annex 2 Designated EHV charges'!$D:$P,10,FALSE)),"")</f>
        <v/>
      </c>
      <c r="F228" s="63" t="str">
        <f>IFERROR(IF(VLOOKUP($A228,'Annex 2 Designated EHV charges'!$D:$P,11,FALSE)=0,"",VLOOKUP($A228,'Annex 2 Designated EHV charges'!$D:$P,11,FALSE)),"")</f>
        <v/>
      </c>
      <c r="G228" s="63" t="str">
        <f>IFERROR(IF(VLOOKUP($A228,'Annex 2 Designated EHV charges'!$D:$P,12,FALSE)=0,"",VLOOKUP($A228,'Annex 2 Designated EHV charges'!$D:$P,12,FALSE)),"")</f>
        <v/>
      </c>
      <c r="H228" s="53" t="str">
        <f>IFERROR(IF(VLOOKUP($A228,'Annex 2 Designated EHV charges'!$D:$P,13,FALSE)=0,"",VLOOKUP($A228,'Annex 2 Designated EHV charges'!$D:$P,13,FALSE)),"")</f>
        <v/>
      </c>
    </row>
    <row r="229" spans="1:8" x14ac:dyDescent="0.2">
      <c r="A229" s="53" t="str">
        <f t="array" ref="A229">IFERROR(INDEX('Annex 2 Designated EHV charges'!$D$11:$D$58, MATCH(0, IF(ISBLANK('Annex 2 Designated EHV charges'!$D$11:$D$58),1, COUNTIF(A$4:$A228, 'Annex 2 Designated EHV charges'!$D$11:$D$58)), 0)),"")</f>
        <v/>
      </c>
      <c r="B229" s="53" t="str">
        <f>IF($A229="","",VLOOKUP($A229,'Annex 2 Designated EHV charges'!$D:$O,2,0))</f>
        <v/>
      </c>
      <c r="C229" s="61" t="str">
        <f>IF($A229="","",VLOOKUP($A229,'Annex 2 Designated EHV charges'!$D:$O,3,0))</f>
        <v/>
      </c>
      <c r="D229" s="61" t="str">
        <f>IF($A229="","",VLOOKUP($A229,'Annex 2 Designated EHV charges'!$D:$O,4,0))</f>
        <v/>
      </c>
      <c r="E229" s="62" t="str">
        <f>IFERROR(IF(VLOOKUP($A229,'Annex 2 Designated EHV charges'!$D:$P,10,FALSE)=0,"",VLOOKUP($A229,'Annex 2 Designated EHV charges'!$D:$P,10,FALSE)),"")</f>
        <v/>
      </c>
      <c r="F229" s="63" t="str">
        <f>IFERROR(IF(VLOOKUP($A229,'Annex 2 Designated EHV charges'!$D:$P,11,FALSE)=0,"",VLOOKUP($A229,'Annex 2 Designated EHV charges'!$D:$P,11,FALSE)),"")</f>
        <v/>
      </c>
      <c r="G229" s="63" t="str">
        <f>IFERROR(IF(VLOOKUP($A229,'Annex 2 Designated EHV charges'!$D:$P,12,FALSE)=0,"",VLOOKUP($A229,'Annex 2 Designated EHV charges'!$D:$P,12,FALSE)),"")</f>
        <v/>
      </c>
      <c r="H229" s="53" t="str">
        <f>IFERROR(IF(VLOOKUP($A229,'Annex 2 Designated EHV charges'!$D:$P,13,FALSE)=0,"",VLOOKUP($A229,'Annex 2 Designated EHV charges'!$D:$P,13,FALSE)),"")</f>
        <v/>
      </c>
    </row>
    <row r="230" spans="1:8" x14ac:dyDescent="0.2">
      <c r="A230" s="53" t="str">
        <f t="array" ref="A230">IFERROR(INDEX('Annex 2 Designated EHV charges'!$D$11:$D$58, MATCH(0, IF(ISBLANK('Annex 2 Designated EHV charges'!$D$11:$D$58),1, COUNTIF(A$4:$A229, 'Annex 2 Designated EHV charges'!$D$11:$D$58)), 0)),"")</f>
        <v/>
      </c>
      <c r="B230" s="53" t="str">
        <f>IF($A230="","",VLOOKUP($A230,'Annex 2 Designated EHV charges'!$D:$O,2,0))</f>
        <v/>
      </c>
      <c r="C230" s="61" t="str">
        <f>IF($A230="","",VLOOKUP($A230,'Annex 2 Designated EHV charges'!$D:$O,3,0))</f>
        <v/>
      </c>
      <c r="D230" s="61" t="str">
        <f>IF($A230="","",VLOOKUP($A230,'Annex 2 Designated EHV charges'!$D:$O,4,0))</f>
        <v/>
      </c>
      <c r="E230" s="62" t="str">
        <f>IFERROR(IF(VLOOKUP($A230,'Annex 2 Designated EHV charges'!$D:$P,10,FALSE)=0,"",VLOOKUP($A230,'Annex 2 Designated EHV charges'!$D:$P,10,FALSE)),"")</f>
        <v/>
      </c>
      <c r="F230" s="63" t="str">
        <f>IFERROR(IF(VLOOKUP($A230,'Annex 2 Designated EHV charges'!$D:$P,11,FALSE)=0,"",VLOOKUP($A230,'Annex 2 Designated EHV charges'!$D:$P,11,FALSE)),"")</f>
        <v/>
      </c>
      <c r="G230" s="63" t="str">
        <f>IFERROR(IF(VLOOKUP($A230,'Annex 2 Designated EHV charges'!$D:$P,12,FALSE)=0,"",VLOOKUP($A230,'Annex 2 Designated EHV charges'!$D:$P,12,FALSE)),"")</f>
        <v/>
      </c>
      <c r="H230" s="53" t="str">
        <f>IFERROR(IF(VLOOKUP($A230,'Annex 2 Designated EHV charges'!$D:$P,13,FALSE)=0,"",VLOOKUP($A230,'Annex 2 Designated EHV charges'!$D:$P,13,FALSE)),"")</f>
        <v/>
      </c>
    </row>
    <row r="231" spans="1:8" x14ac:dyDescent="0.2">
      <c r="A231" s="53" t="str">
        <f t="array" ref="A231">IFERROR(INDEX('Annex 2 Designated EHV charges'!$D$11:$D$58, MATCH(0, IF(ISBLANK('Annex 2 Designated EHV charges'!$D$11:$D$58),1, COUNTIF(A$4:$A230, 'Annex 2 Designated EHV charges'!$D$11:$D$58)), 0)),"")</f>
        <v/>
      </c>
      <c r="B231" s="53" t="str">
        <f>IF($A231="","",VLOOKUP($A231,'Annex 2 Designated EHV charges'!$D:$O,2,0))</f>
        <v/>
      </c>
      <c r="C231" s="61" t="str">
        <f>IF($A231="","",VLOOKUP($A231,'Annex 2 Designated EHV charges'!$D:$O,3,0))</f>
        <v/>
      </c>
      <c r="D231" s="61" t="str">
        <f>IF($A231="","",VLOOKUP($A231,'Annex 2 Designated EHV charges'!$D:$O,4,0))</f>
        <v/>
      </c>
      <c r="E231" s="62" t="str">
        <f>IFERROR(IF(VLOOKUP($A231,'Annex 2 Designated EHV charges'!$D:$P,10,FALSE)=0,"",VLOOKUP($A231,'Annex 2 Designated EHV charges'!$D:$P,10,FALSE)),"")</f>
        <v/>
      </c>
      <c r="F231" s="63" t="str">
        <f>IFERROR(IF(VLOOKUP($A231,'Annex 2 Designated EHV charges'!$D:$P,11,FALSE)=0,"",VLOOKUP($A231,'Annex 2 Designated EHV charges'!$D:$P,11,FALSE)),"")</f>
        <v/>
      </c>
      <c r="G231" s="63" t="str">
        <f>IFERROR(IF(VLOOKUP($A231,'Annex 2 Designated EHV charges'!$D:$P,12,FALSE)=0,"",VLOOKUP($A231,'Annex 2 Designated EHV charges'!$D:$P,12,FALSE)),"")</f>
        <v/>
      </c>
      <c r="H231" s="53" t="str">
        <f>IFERROR(IF(VLOOKUP($A231,'Annex 2 Designated EHV charges'!$D:$P,13,FALSE)=0,"",VLOOKUP($A231,'Annex 2 Designated EHV charges'!$D:$P,13,FALSE)),"")</f>
        <v/>
      </c>
    </row>
    <row r="232" spans="1:8" x14ac:dyDescent="0.2">
      <c r="A232" s="53" t="str">
        <f t="array" ref="A232">IFERROR(INDEX('Annex 2 Designated EHV charges'!$D$11:$D$58, MATCH(0, IF(ISBLANK('Annex 2 Designated EHV charges'!$D$11:$D$58),1, COUNTIF(A$4:$A231, 'Annex 2 Designated EHV charges'!$D$11:$D$58)), 0)),"")</f>
        <v/>
      </c>
      <c r="B232" s="53" t="str">
        <f>IF($A232="","",VLOOKUP($A232,'Annex 2 Designated EHV charges'!$D:$O,2,0))</f>
        <v/>
      </c>
      <c r="C232" s="61" t="str">
        <f>IF($A232="","",VLOOKUP($A232,'Annex 2 Designated EHV charges'!$D:$O,3,0))</f>
        <v/>
      </c>
      <c r="D232" s="61" t="str">
        <f>IF($A232="","",VLOOKUP($A232,'Annex 2 Designated EHV charges'!$D:$O,4,0))</f>
        <v/>
      </c>
      <c r="E232" s="62" t="str">
        <f>IFERROR(IF(VLOOKUP($A232,'Annex 2 Designated EHV charges'!$D:$P,10,FALSE)=0,"",VLOOKUP($A232,'Annex 2 Designated EHV charges'!$D:$P,10,FALSE)),"")</f>
        <v/>
      </c>
      <c r="F232" s="63" t="str">
        <f>IFERROR(IF(VLOOKUP($A232,'Annex 2 Designated EHV charges'!$D:$P,11,FALSE)=0,"",VLOOKUP($A232,'Annex 2 Designated EHV charges'!$D:$P,11,FALSE)),"")</f>
        <v/>
      </c>
      <c r="G232" s="63" t="str">
        <f>IFERROR(IF(VLOOKUP($A232,'Annex 2 Designated EHV charges'!$D:$P,12,FALSE)=0,"",VLOOKUP($A232,'Annex 2 Designated EHV charges'!$D:$P,12,FALSE)),"")</f>
        <v/>
      </c>
      <c r="H232" s="53" t="str">
        <f>IFERROR(IF(VLOOKUP($A232,'Annex 2 Designated EHV charges'!$D:$P,13,FALSE)=0,"",VLOOKUP($A232,'Annex 2 Designated EHV charges'!$D:$P,13,FALSE)),"")</f>
        <v/>
      </c>
    </row>
    <row r="233" spans="1:8" x14ac:dyDescent="0.2">
      <c r="A233" s="53" t="str">
        <f t="array" ref="A233">IFERROR(INDEX('Annex 2 Designated EHV charges'!$D$11:$D$58, MATCH(0, IF(ISBLANK('Annex 2 Designated EHV charges'!$D$11:$D$58),1, COUNTIF(A$4:$A232, 'Annex 2 Designated EHV charges'!$D$11:$D$58)), 0)),"")</f>
        <v/>
      </c>
      <c r="B233" s="53" t="str">
        <f>IF($A233="","",VLOOKUP($A233,'Annex 2 Designated EHV charges'!$D:$O,2,0))</f>
        <v/>
      </c>
      <c r="C233" s="61" t="str">
        <f>IF($A233="","",VLOOKUP($A233,'Annex 2 Designated EHV charges'!$D:$O,3,0))</f>
        <v/>
      </c>
      <c r="D233" s="61" t="str">
        <f>IF($A233="","",VLOOKUP($A233,'Annex 2 Designated EHV charges'!$D:$O,4,0))</f>
        <v/>
      </c>
      <c r="E233" s="62" t="str">
        <f>IFERROR(IF(VLOOKUP($A233,'Annex 2 Designated EHV charges'!$D:$P,10,FALSE)=0,"",VLOOKUP($A233,'Annex 2 Designated EHV charges'!$D:$P,10,FALSE)),"")</f>
        <v/>
      </c>
      <c r="F233" s="63" t="str">
        <f>IFERROR(IF(VLOOKUP($A233,'Annex 2 Designated EHV charges'!$D:$P,11,FALSE)=0,"",VLOOKUP($A233,'Annex 2 Designated EHV charges'!$D:$P,11,FALSE)),"")</f>
        <v/>
      </c>
      <c r="G233" s="63" t="str">
        <f>IFERROR(IF(VLOOKUP($A233,'Annex 2 Designated EHV charges'!$D:$P,12,FALSE)=0,"",VLOOKUP($A233,'Annex 2 Designated EHV charges'!$D:$P,12,FALSE)),"")</f>
        <v/>
      </c>
      <c r="H233" s="53" t="str">
        <f>IFERROR(IF(VLOOKUP($A233,'Annex 2 Designated EHV charges'!$D:$P,13,FALSE)=0,"",VLOOKUP($A233,'Annex 2 Designated EHV charges'!$D:$P,13,FALSE)),"")</f>
        <v/>
      </c>
    </row>
    <row r="234" spans="1:8" x14ac:dyDescent="0.2">
      <c r="A234" s="53" t="str">
        <f t="array" ref="A234">IFERROR(INDEX('Annex 2 Designated EHV charges'!$D$11:$D$58, MATCH(0, IF(ISBLANK('Annex 2 Designated EHV charges'!$D$11:$D$58),1, COUNTIF(A$4:$A233, 'Annex 2 Designated EHV charges'!$D$11:$D$58)), 0)),"")</f>
        <v/>
      </c>
      <c r="B234" s="53" t="str">
        <f>IF($A234="","",VLOOKUP($A234,'Annex 2 Designated EHV charges'!$D:$O,2,0))</f>
        <v/>
      </c>
      <c r="C234" s="61" t="str">
        <f>IF($A234="","",VLOOKUP($A234,'Annex 2 Designated EHV charges'!$D:$O,3,0))</f>
        <v/>
      </c>
      <c r="D234" s="61" t="str">
        <f>IF($A234="","",VLOOKUP($A234,'Annex 2 Designated EHV charges'!$D:$O,4,0))</f>
        <v/>
      </c>
      <c r="E234" s="62" t="str">
        <f>IFERROR(IF(VLOOKUP($A234,'Annex 2 Designated EHV charges'!$D:$P,10,FALSE)=0,"",VLOOKUP($A234,'Annex 2 Designated EHV charges'!$D:$P,10,FALSE)),"")</f>
        <v/>
      </c>
      <c r="F234" s="63" t="str">
        <f>IFERROR(IF(VLOOKUP($A234,'Annex 2 Designated EHV charges'!$D:$P,11,FALSE)=0,"",VLOOKUP($A234,'Annex 2 Designated EHV charges'!$D:$P,11,FALSE)),"")</f>
        <v/>
      </c>
      <c r="G234" s="63" t="str">
        <f>IFERROR(IF(VLOOKUP($A234,'Annex 2 Designated EHV charges'!$D:$P,12,FALSE)=0,"",VLOOKUP($A234,'Annex 2 Designated EHV charges'!$D:$P,12,FALSE)),"")</f>
        <v/>
      </c>
      <c r="H234" s="53" t="str">
        <f>IFERROR(IF(VLOOKUP($A234,'Annex 2 Designated EHV charges'!$D:$P,13,FALSE)=0,"",VLOOKUP($A234,'Annex 2 Designated EHV charges'!$D:$P,13,FALSE)),"")</f>
        <v/>
      </c>
    </row>
    <row r="235" spans="1:8" x14ac:dyDescent="0.2">
      <c r="A235" s="53" t="str">
        <f t="array" ref="A235">IFERROR(INDEX('Annex 2 Designated EHV charges'!$D$11:$D$58, MATCH(0, IF(ISBLANK('Annex 2 Designated EHV charges'!$D$11:$D$58),1, COUNTIF(A$4:$A234, 'Annex 2 Designated EHV charges'!$D$11:$D$58)), 0)),"")</f>
        <v/>
      </c>
      <c r="B235" s="53" t="str">
        <f>IF($A235="","",VLOOKUP($A235,'Annex 2 Designated EHV charges'!$D:$O,2,0))</f>
        <v/>
      </c>
      <c r="C235" s="61" t="str">
        <f>IF($A235="","",VLOOKUP($A235,'Annex 2 Designated EHV charges'!$D:$O,3,0))</f>
        <v/>
      </c>
      <c r="D235" s="61" t="str">
        <f>IF($A235="","",VLOOKUP($A235,'Annex 2 Designated EHV charges'!$D:$O,4,0))</f>
        <v/>
      </c>
      <c r="E235" s="62" t="str">
        <f>IFERROR(IF(VLOOKUP($A235,'Annex 2 Designated EHV charges'!$D:$P,10,FALSE)=0,"",VLOOKUP($A235,'Annex 2 Designated EHV charges'!$D:$P,10,FALSE)),"")</f>
        <v/>
      </c>
      <c r="F235" s="63" t="str">
        <f>IFERROR(IF(VLOOKUP($A235,'Annex 2 Designated EHV charges'!$D:$P,11,FALSE)=0,"",VLOOKUP($A235,'Annex 2 Designated EHV charges'!$D:$P,11,FALSE)),"")</f>
        <v/>
      </c>
      <c r="G235" s="63" t="str">
        <f>IFERROR(IF(VLOOKUP($A235,'Annex 2 Designated EHV charges'!$D:$P,12,FALSE)=0,"",VLOOKUP($A235,'Annex 2 Designated EHV charges'!$D:$P,12,FALSE)),"")</f>
        <v/>
      </c>
      <c r="H235" s="53" t="str">
        <f>IFERROR(IF(VLOOKUP($A235,'Annex 2 Designated EHV charges'!$D:$P,13,FALSE)=0,"",VLOOKUP($A235,'Annex 2 Designated EHV charges'!$D:$P,13,FALSE)),"")</f>
        <v/>
      </c>
    </row>
    <row r="236" spans="1:8" x14ac:dyDescent="0.2">
      <c r="A236" s="53" t="str">
        <f t="array" ref="A236">IFERROR(INDEX('Annex 2 Designated EHV charges'!$D$11:$D$58, MATCH(0, IF(ISBLANK('Annex 2 Designated EHV charges'!$D$11:$D$58),1, COUNTIF(A$4:$A235, 'Annex 2 Designated EHV charges'!$D$11:$D$58)), 0)),"")</f>
        <v/>
      </c>
      <c r="B236" s="53" t="str">
        <f>IF($A236="","",VLOOKUP($A236,'Annex 2 Designated EHV charges'!$D:$O,2,0))</f>
        <v/>
      </c>
      <c r="C236" s="61" t="str">
        <f>IF($A236="","",VLOOKUP($A236,'Annex 2 Designated EHV charges'!$D:$O,3,0))</f>
        <v/>
      </c>
      <c r="D236" s="61" t="str">
        <f>IF($A236="","",VLOOKUP($A236,'Annex 2 Designated EHV charges'!$D:$O,4,0))</f>
        <v/>
      </c>
      <c r="E236" s="62" t="str">
        <f>IFERROR(IF(VLOOKUP($A236,'Annex 2 Designated EHV charges'!$D:$P,10,FALSE)=0,"",VLOOKUP($A236,'Annex 2 Designated EHV charges'!$D:$P,10,FALSE)),"")</f>
        <v/>
      </c>
      <c r="F236" s="63" t="str">
        <f>IFERROR(IF(VLOOKUP($A236,'Annex 2 Designated EHV charges'!$D:$P,11,FALSE)=0,"",VLOOKUP($A236,'Annex 2 Designated EHV charges'!$D:$P,11,FALSE)),"")</f>
        <v/>
      </c>
      <c r="G236" s="63" t="str">
        <f>IFERROR(IF(VLOOKUP($A236,'Annex 2 Designated EHV charges'!$D:$P,12,FALSE)=0,"",VLOOKUP($A236,'Annex 2 Designated EHV charges'!$D:$P,12,FALSE)),"")</f>
        <v/>
      </c>
      <c r="H236" s="53" t="str">
        <f>IFERROR(IF(VLOOKUP($A236,'Annex 2 Designated EHV charges'!$D:$P,13,FALSE)=0,"",VLOOKUP($A236,'Annex 2 Designated EHV charges'!$D:$P,13,FALSE)),"")</f>
        <v/>
      </c>
    </row>
    <row r="237" spans="1:8" x14ac:dyDescent="0.2">
      <c r="A237" s="53" t="str">
        <f t="array" ref="A237">IFERROR(INDEX('Annex 2 Designated EHV charges'!$D$11:$D$58, MATCH(0, IF(ISBLANK('Annex 2 Designated EHV charges'!$D$11:$D$58),1, COUNTIF(A$4:$A236, 'Annex 2 Designated EHV charges'!$D$11:$D$58)), 0)),"")</f>
        <v/>
      </c>
      <c r="B237" s="53" t="str">
        <f>IF($A237="","",VLOOKUP($A237,'Annex 2 Designated EHV charges'!$D:$O,2,0))</f>
        <v/>
      </c>
      <c r="C237" s="61" t="str">
        <f>IF($A237="","",VLOOKUP($A237,'Annex 2 Designated EHV charges'!$D:$O,3,0))</f>
        <v/>
      </c>
      <c r="D237" s="61" t="str">
        <f>IF($A237="","",VLOOKUP($A237,'Annex 2 Designated EHV charges'!$D:$O,4,0))</f>
        <v/>
      </c>
      <c r="E237" s="62" t="str">
        <f>IFERROR(IF(VLOOKUP($A237,'Annex 2 Designated EHV charges'!$D:$P,10,FALSE)=0,"",VLOOKUP($A237,'Annex 2 Designated EHV charges'!$D:$P,10,FALSE)),"")</f>
        <v/>
      </c>
      <c r="F237" s="63" t="str">
        <f>IFERROR(IF(VLOOKUP($A237,'Annex 2 Designated EHV charges'!$D:$P,11,FALSE)=0,"",VLOOKUP($A237,'Annex 2 Designated EHV charges'!$D:$P,11,FALSE)),"")</f>
        <v/>
      </c>
      <c r="G237" s="63" t="str">
        <f>IFERROR(IF(VLOOKUP($A237,'Annex 2 Designated EHV charges'!$D:$P,12,FALSE)=0,"",VLOOKUP($A237,'Annex 2 Designated EHV charges'!$D:$P,12,FALSE)),"")</f>
        <v/>
      </c>
      <c r="H237" s="53" t="str">
        <f>IFERROR(IF(VLOOKUP($A237,'Annex 2 Designated EHV charges'!$D:$P,13,FALSE)=0,"",VLOOKUP($A237,'Annex 2 Designated EHV charges'!$D:$P,13,FALSE)),"")</f>
        <v/>
      </c>
    </row>
    <row r="238" spans="1:8" x14ac:dyDescent="0.2">
      <c r="A238" s="53" t="str">
        <f t="array" ref="A238">IFERROR(INDEX('Annex 2 Designated EHV charges'!$D$11:$D$58, MATCH(0, IF(ISBLANK('Annex 2 Designated EHV charges'!$D$11:$D$58),1, COUNTIF(A$4:$A237, 'Annex 2 Designated EHV charges'!$D$11:$D$58)), 0)),"")</f>
        <v/>
      </c>
      <c r="B238" s="53" t="str">
        <f>IF($A238="","",VLOOKUP($A238,'Annex 2 Designated EHV charges'!$D:$O,2,0))</f>
        <v/>
      </c>
      <c r="C238" s="61" t="str">
        <f>IF($A238="","",VLOOKUP($A238,'Annex 2 Designated EHV charges'!$D:$O,3,0))</f>
        <v/>
      </c>
      <c r="D238" s="61" t="str">
        <f>IF($A238="","",VLOOKUP($A238,'Annex 2 Designated EHV charges'!$D:$O,4,0))</f>
        <v/>
      </c>
      <c r="E238" s="62" t="str">
        <f>IFERROR(IF(VLOOKUP($A238,'Annex 2 Designated EHV charges'!$D:$P,10,FALSE)=0,"",VLOOKUP($A238,'Annex 2 Designated EHV charges'!$D:$P,10,FALSE)),"")</f>
        <v/>
      </c>
      <c r="F238" s="63" t="str">
        <f>IFERROR(IF(VLOOKUP($A238,'Annex 2 Designated EHV charges'!$D:$P,11,FALSE)=0,"",VLOOKUP($A238,'Annex 2 Designated EHV charges'!$D:$P,11,FALSE)),"")</f>
        <v/>
      </c>
      <c r="G238" s="63" t="str">
        <f>IFERROR(IF(VLOOKUP($A238,'Annex 2 Designated EHV charges'!$D:$P,12,FALSE)=0,"",VLOOKUP($A238,'Annex 2 Designated EHV charges'!$D:$P,12,FALSE)),"")</f>
        <v/>
      </c>
      <c r="H238" s="53" t="str">
        <f>IFERROR(IF(VLOOKUP($A238,'Annex 2 Designated EHV charges'!$D:$P,13,FALSE)=0,"",VLOOKUP($A238,'Annex 2 Designated EHV charges'!$D:$P,13,FALSE)),"")</f>
        <v/>
      </c>
    </row>
    <row r="239" spans="1:8" x14ac:dyDescent="0.2">
      <c r="A239" s="53" t="str">
        <f t="array" ref="A239">IFERROR(INDEX('Annex 2 Designated EHV charges'!$D$11:$D$58, MATCH(0, IF(ISBLANK('Annex 2 Designated EHV charges'!$D$11:$D$58),1, COUNTIF(A$4:$A238, 'Annex 2 Designated EHV charges'!$D$11:$D$58)), 0)),"")</f>
        <v/>
      </c>
      <c r="B239" s="53" t="str">
        <f>IF($A239="","",VLOOKUP($A239,'Annex 2 Designated EHV charges'!$D:$O,2,0))</f>
        <v/>
      </c>
      <c r="C239" s="61" t="str">
        <f>IF($A239="","",VLOOKUP($A239,'Annex 2 Designated EHV charges'!$D:$O,3,0))</f>
        <v/>
      </c>
      <c r="D239" s="61" t="str">
        <f>IF($A239="","",VLOOKUP($A239,'Annex 2 Designated EHV charges'!$D:$O,4,0))</f>
        <v/>
      </c>
      <c r="E239" s="62" t="str">
        <f>IFERROR(IF(VLOOKUP($A239,'Annex 2 Designated EHV charges'!$D:$P,10,FALSE)=0,"",VLOOKUP($A239,'Annex 2 Designated EHV charges'!$D:$P,10,FALSE)),"")</f>
        <v/>
      </c>
      <c r="F239" s="63" t="str">
        <f>IFERROR(IF(VLOOKUP($A239,'Annex 2 Designated EHV charges'!$D:$P,11,FALSE)=0,"",VLOOKUP($A239,'Annex 2 Designated EHV charges'!$D:$P,11,FALSE)),"")</f>
        <v/>
      </c>
      <c r="G239" s="63" t="str">
        <f>IFERROR(IF(VLOOKUP($A239,'Annex 2 Designated EHV charges'!$D:$P,12,FALSE)=0,"",VLOOKUP($A239,'Annex 2 Designated EHV charges'!$D:$P,12,FALSE)),"")</f>
        <v/>
      </c>
      <c r="H239" s="53" t="str">
        <f>IFERROR(IF(VLOOKUP($A239,'Annex 2 Designated EHV charges'!$D:$P,13,FALSE)=0,"",VLOOKUP($A239,'Annex 2 Designated EHV charges'!$D:$P,13,FALSE)),"")</f>
        <v/>
      </c>
    </row>
    <row r="240" spans="1:8" x14ac:dyDescent="0.2">
      <c r="A240" s="53" t="str">
        <f t="array" ref="A240">IFERROR(INDEX('Annex 2 Designated EHV charges'!$D$11:$D$58, MATCH(0, IF(ISBLANK('Annex 2 Designated EHV charges'!$D$11:$D$58),1, COUNTIF(A$4:$A239, 'Annex 2 Designated EHV charges'!$D$11:$D$58)), 0)),"")</f>
        <v/>
      </c>
      <c r="B240" s="53" t="str">
        <f>IF($A240="","",VLOOKUP($A240,'Annex 2 Designated EHV charges'!$D:$O,2,0))</f>
        <v/>
      </c>
      <c r="C240" s="61" t="str">
        <f>IF($A240="","",VLOOKUP($A240,'Annex 2 Designated EHV charges'!$D:$O,3,0))</f>
        <v/>
      </c>
      <c r="D240" s="61" t="str">
        <f>IF($A240="","",VLOOKUP($A240,'Annex 2 Designated EHV charges'!$D:$O,4,0))</f>
        <v/>
      </c>
      <c r="E240" s="62" t="str">
        <f>IFERROR(IF(VLOOKUP($A240,'Annex 2 Designated EHV charges'!$D:$P,10,FALSE)=0,"",VLOOKUP($A240,'Annex 2 Designated EHV charges'!$D:$P,10,FALSE)),"")</f>
        <v/>
      </c>
      <c r="F240" s="63" t="str">
        <f>IFERROR(IF(VLOOKUP($A240,'Annex 2 Designated EHV charges'!$D:$P,11,FALSE)=0,"",VLOOKUP($A240,'Annex 2 Designated EHV charges'!$D:$P,11,FALSE)),"")</f>
        <v/>
      </c>
      <c r="G240" s="63" t="str">
        <f>IFERROR(IF(VLOOKUP($A240,'Annex 2 Designated EHV charges'!$D:$P,12,FALSE)=0,"",VLOOKUP($A240,'Annex 2 Designated EHV charges'!$D:$P,12,FALSE)),"")</f>
        <v/>
      </c>
      <c r="H240" s="53" t="str">
        <f>IFERROR(IF(VLOOKUP($A240,'Annex 2 Designated EHV charges'!$D:$P,13,FALSE)=0,"",VLOOKUP($A240,'Annex 2 Designated EHV charges'!$D:$P,13,FALSE)),"")</f>
        <v/>
      </c>
    </row>
    <row r="241" spans="1:8" x14ac:dyDescent="0.2">
      <c r="A241" s="53" t="str">
        <f t="array" ref="A241">IFERROR(INDEX('Annex 2 Designated EHV charges'!$D$11:$D$58, MATCH(0, IF(ISBLANK('Annex 2 Designated EHV charges'!$D$11:$D$58),1, COUNTIF(A$4:$A240, 'Annex 2 Designated EHV charges'!$D$11:$D$58)), 0)),"")</f>
        <v/>
      </c>
      <c r="B241" s="53" t="str">
        <f>IF($A241="","",VLOOKUP($A241,'Annex 2 Designated EHV charges'!$D:$O,2,0))</f>
        <v/>
      </c>
      <c r="C241" s="61" t="str">
        <f>IF($A241="","",VLOOKUP($A241,'Annex 2 Designated EHV charges'!$D:$O,3,0))</f>
        <v/>
      </c>
      <c r="D241" s="61" t="str">
        <f>IF($A241="","",VLOOKUP($A241,'Annex 2 Designated EHV charges'!$D:$O,4,0))</f>
        <v/>
      </c>
      <c r="E241" s="62" t="str">
        <f>IFERROR(IF(VLOOKUP($A241,'Annex 2 Designated EHV charges'!$D:$P,10,FALSE)=0,"",VLOOKUP($A241,'Annex 2 Designated EHV charges'!$D:$P,10,FALSE)),"")</f>
        <v/>
      </c>
      <c r="F241" s="63" t="str">
        <f>IFERROR(IF(VLOOKUP($A241,'Annex 2 Designated EHV charges'!$D:$P,11,FALSE)=0,"",VLOOKUP($A241,'Annex 2 Designated EHV charges'!$D:$P,11,FALSE)),"")</f>
        <v/>
      </c>
      <c r="G241" s="63" t="str">
        <f>IFERROR(IF(VLOOKUP($A241,'Annex 2 Designated EHV charges'!$D:$P,12,FALSE)=0,"",VLOOKUP($A241,'Annex 2 Designated EHV charges'!$D:$P,12,FALSE)),"")</f>
        <v/>
      </c>
      <c r="H241" s="53" t="str">
        <f>IFERROR(IF(VLOOKUP($A241,'Annex 2 Designated EHV charges'!$D:$P,13,FALSE)=0,"",VLOOKUP($A241,'Annex 2 Designated EHV charges'!$D:$P,13,FALSE)),"")</f>
        <v/>
      </c>
    </row>
    <row r="242" spans="1:8" x14ac:dyDescent="0.2">
      <c r="A242" s="53" t="str">
        <f t="array" ref="A242">IFERROR(INDEX('Annex 2 Designated EHV charges'!$D$11:$D$58, MATCH(0, IF(ISBLANK('Annex 2 Designated EHV charges'!$D$11:$D$58),1, COUNTIF(A$4:$A241, 'Annex 2 Designated EHV charges'!$D$11:$D$58)), 0)),"")</f>
        <v/>
      </c>
      <c r="B242" s="53" t="str">
        <f>IF($A242="","",VLOOKUP($A242,'Annex 2 Designated EHV charges'!$D:$O,2,0))</f>
        <v/>
      </c>
      <c r="C242" s="61" t="str">
        <f>IF($A242="","",VLOOKUP($A242,'Annex 2 Designated EHV charges'!$D:$O,3,0))</f>
        <v/>
      </c>
      <c r="D242" s="61" t="str">
        <f>IF($A242="","",VLOOKUP($A242,'Annex 2 Designated EHV charges'!$D:$O,4,0))</f>
        <v/>
      </c>
      <c r="E242" s="62" t="str">
        <f>IFERROR(IF(VLOOKUP($A242,'Annex 2 Designated EHV charges'!$D:$P,10,FALSE)=0,"",VLOOKUP($A242,'Annex 2 Designated EHV charges'!$D:$P,10,FALSE)),"")</f>
        <v/>
      </c>
      <c r="F242" s="63" t="str">
        <f>IFERROR(IF(VLOOKUP($A242,'Annex 2 Designated EHV charges'!$D:$P,11,FALSE)=0,"",VLOOKUP($A242,'Annex 2 Designated EHV charges'!$D:$P,11,FALSE)),"")</f>
        <v/>
      </c>
      <c r="G242" s="63" t="str">
        <f>IFERROR(IF(VLOOKUP($A242,'Annex 2 Designated EHV charges'!$D:$P,12,FALSE)=0,"",VLOOKUP($A242,'Annex 2 Designated EHV charges'!$D:$P,12,FALSE)),"")</f>
        <v/>
      </c>
      <c r="H242" s="53" t="str">
        <f>IFERROR(IF(VLOOKUP($A242,'Annex 2 Designated EHV charges'!$D:$P,13,FALSE)=0,"",VLOOKUP($A242,'Annex 2 Designated EHV charges'!$D:$P,13,FALSE)),"")</f>
        <v/>
      </c>
    </row>
    <row r="243" spans="1:8" x14ac:dyDescent="0.2">
      <c r="A243" s="53" t="str">
        <f t="array" ref="A243">IFERROR(INDEX('Annex 2 Designated EHV charges'!$D$11:$D$58, MATCH(0, IF(ISBLANK('Annex 2 Designated EHV charges'!$D$11:$D$58),1, COUNTIF(A$4:$A242, 'Annex 2 Designated EHV charges'!$D$11:$D$58)), 0)),"")</f>
        <v/>
      </c>
      <c r="B243" s="53" t="str">
        <f>IF($A243="","",VLOOKUP($A243,'Annex 2 Designated EHV charges'!$D:$O,2,0))</f>
        <v/>
      </c>
      <c r="C243" s="61" t="str">
        <f>IF($A243="","",VLOOKUP($A243,'Annex 2 Designated EHV charges'!$D:$O,3,0))</f>
        <v/>
      </c>
      <c r="D243" s="61" t="str">
        <f>IF($A243="","",VLOOKUP($A243,'Annex 2 Designated EHV charges'!$D:$O,4,0))</f>
        <v/>
      </c>
      <c r="E243" s="62" t="str">
        <f>IFERROR(IF(VLOOKUP($A243,'Annex 2 Designated EHV charges'!$D:$P,10,FALSE)=0,"",VLOOKUP($A243,'Annex 2 Designated EHV charges'!$D:$P,10,FALSE)),"")</f>
        <v/>
      </c>
      <c r="F243" s="63" t="str">
        <f>IFERROR(IF(VLOOKUP($A243,'Annex 2 Designated EHV charges'!$D:$P,11,FALSE)=0,"",VLOOKUP($A243,'Annex 2 Designated EHV charges'!$D:$P,11,FALSE)),"")</f>
        <v/>
      </c>
      <c r="G243" s="63" t="str">
        <f>IFERROR(IF(VLOOKUP($A243,'Annex 2 Designated EHV charges'!$D:$P,12,FALSE)=0,"",VLOOKUP($A243,'Annex 2 Designated EHV charges'!$D:$P,12,FALSE)),"")</f>
        <v/>
      </c>
      <c r="H243" s="53" t="str">
        <f>IFERROR(IF(VLOOKUP($A243,'Annex 2 Designated EHV charges'!$D:$P,13,FALSE)=0,"",VLOOKUP($A243,'Annex 2 Designated EHV charges'!$D:$P,13,FALSE)),"")</f>
        <v/>
      </c>
    </row>
    <row r="244" spans="1:8" x14ac:dyDescent="0.2">
      <c r="A244" s="53" t="str">
        <f t="array" ref="A244">IFERROR(INDEX('Annex 2 Designated EHV charges'!$D$11:$D$58, MATCH(0, IF(ISBLANK('Annex 2 Designated EHV charges'!$D$11:$D$58),1, COUNTIF(A$4:$A243, 'Annex 2 Designated EHV charges'!$D$11:$D$58)), 0)),"")</f>
        <v/>
      </c>
      <c r="B244" s="53" t="str">
        <f>IF($A244="","",VLOOKUP($A244,'Annex 2 Designated EHV charges'!$D:$O,2,0))</f>
        <v/>
      </c>
      <c r="C244" s="61" t="str">
        <f>IF($A244="","",VLOOKUP($A244,'Annex 2 Designated EHV charges'!$D:$O,3,0))</f>
        <v/>
      </c>
      <c r="D244" s="61" t="str">
        <f>IF($A244="","",VLOOKUP($A244,'Annex 2 Designated EHV charges'!$D:$O,4,0))</f>
        <v/>
      </c>
      <c r="E244" s="62" t="str">
        <f>IFERROR(IF(VLOOKUP($A244,'Annex 2 Designated EHV charges'!$D:$P,10,FALSE)=0,"",VLOOKUP($A244,'Annex 2 Designated EHV charges'!$D:$P,10,FALSE)),"")</f>
        <v/>
      </c>
      <c r="F244" s="63" t="str">
        <f>IFERROR(IF(VLOOKUP($A244,'Annex 2 Designated EHV charges'!$D:$P,11,FALSE)=0,"",VLOOKUP($A244,'Annex 2 Designated EHV charges'!$D:$P,11,FALSE)),"")</f>
        <v/>
      </c>
      <c r="G244" s="63" t="str">
        <f>IFERROR(IF(VLOOKUP($A244,'Annex 2 Designated EHV charges'!$D:$P,12,FALSE)=0,"",VLOOKUP($A244,'Annex 2 Designated EHV charges'!$D:$P,12,FALSE)),"")</f>
        <v/>
      </c>
      <c r="H244" s="53" t="str">
        <f>IFERROR(IF(VLOOKUP($A244,'Annex 2 Designated EHV charges'!$D:$P,13,FALSE)=0,"",VLOOKUP($A244,'Annex 2 Designated EHV charges'!$D:$P,13,FALSE)),"")</f>
        <v/>
      </c>
    </row>
    <row r="245" spans="1:8" x14ac:dyDescent="0.2">
      <c r="A245" s="53" t="str">
        <f t="array" ref="A245">IFERROR(INDEX('Annex 2 Designated EHV charges'!$D$11:$D$58, MATCH(0, IF(ISBLANK('Annex 2 Designated EHV charges'!$D$11:$D$58),1, COUNTIF(A$4:$A244, 'Annex 2 Designated EHV charges'!$D$11:$D$58)), 0)),"")</f>
        <v/>
      </c>
      <c r="B245" s="53" t="str">
        <f>IF($A245="","",VLOOKUP($A245,'Annex 2 Designated EHV charges'!$D:$O,2,0))</f>
        <v/>
      </c>
      <c r="C245" s="61" t="str">
        <f>IF($A245="","",VLOOKUP($A245,'Annex 2 Designated EHV charges'!$D:$O,3,0))</f>
        <v/>
      </c>
      <c r="D245" s="61" t="str">
        <f>IF($A245="","",VLOOKUP($A245,'Annex 2 Designated EHV charges'!$D:$O,4,0))</f>
        <v/>
      </c>
      <c r="E245" s="62" t="str">
        <f>IFERROR(IF(VLOOKUP($A245,'Annex 2 Designated EHV charges'!$D:$P,10,FALSE)=0,"",VLOOKUP($A245,'Annex 2 Designated EHV charges'!$D:$P,10,FALSE)),"")</f>
        <v/>
      </c>
      <c r="F245" s="63" t="str">
        <f>IFERROR(IF(VLOOKUP($A245,'Annex 2 Designated EHV charges'!$D:$P,11,FALSE)=0,"",VLOOKUP($A245,'Annex 2 Designated EHV charges'!$D:$P,11,FALSE)),"")</f>
        <v/>
      </c>
      <c r="G245" s="63" t="str">
        <f>IFERROR(IF(VLOOKUP($A245,'Annex 2 Designated EHV charges'!$D:$P,12,FALSE)=0,"",VLOOKUP($A245,'Annex 2 Designated EHV charges'!$D:$P,12,FALSE)),"")</f>
        <v/>
      </c>
      <c r="H245" s="53" t="str">
        <f>IFERROR(IF(VLOOKUP($A245,'Annex 2 Designated EHV charges'!$D:$P,13,FALSE)=0,"",VLOOKUP($A245,'Annex 2 Designated EHV charges'!$D:$P,13,FALSE)),"")</f>
        <v/>
      </c>
    </row>
    <row r="246" spans="1:8" x14ac:dyDescent="0.2">
      <c r="A246" s="53" t="str">
        <f t="array" ref="A246">IFERROR(INDEX('Annex 2 Designated EHV charges'!$D$11:$D$58, MATCH(0, IF(ISBLANK('Annex 2 Designated EHV charges'!$D$11:$D$58),1, COUNTIF(A$4:$A245, 'Annex 2 Designated EHV charges'!$D$11:$D$58)), 0)),"")</f>
        <v/>
      </c>
      <c r="B246" s="53" t="str">
        <f>IF($A246="","",VLOOKUP($A246,'Annex 2 Designated EHV charges'!$D:$O,2,0))</f>
        <v/>
      </c>
      <c r="C246" s="61" t="str">
        <f>IF($A246="","",VLOOKUP($A246,'Annex 2 Designated EHV charges'!$D:$O,3,0))</f>
        <v/>
      </c>
      <c r="D246" s="61" t="str">
        <f>IF($A246="","",VLOOKUP($A246,'Annex 2 Designated EHV charges'!$D:$O,4,0))</f>
        <v/>
      </c>
      <c r="E246" s="62" t="str">
        <f>IFERROR(IF(VLOOKUP($A246,'Annex 2 Designated EHV charges'!$D:$P,10,FALSE)=0,"",VLOOKUP($A246,'Annex 2 Designated EHV charges'!$D:$P,10,FALSE)),"")</f>
        <v/>
      </c>
      <c r="F246" s="63" t="str">
        <f>IFERROR(IF(VLOOKUP($A246,'Annex 2 Designated EHV charges'!$D:$P,11,FALSE)=0,"",VLOOKUP($A246,'Annex 2 Designated EHV charges'!$D:$P,11,FALSE)),"")</f>
        <v/>
      </c>
      <c r="G246" s="63" t="str">
        <f>IFERROR(IF(VLOOKUP($A246,'Annex 2 Designated EHV charges'!$D:$P,12,FALSE)=0,"",VLOOKUP($A246,'Annex 2 Designated EHV charges'!$D:$P,12,FALSE)),"")</f>
        <v/>
      </c>
      <c r="H246" s="53" t="str">
        <f>IFERROR(IF(VLOOKUP($A246,'Annex 2 Designated EHV charges'!$D:$P,13,FALSE)=0,"",VLOOKUP($A246,'Annex 2 Designated EHV charges'!$D:$P,13,FALSE)),"")</f>
        <v/>
      </c>
    </row>
    <row r="247" spans="1:8" x14ac:dyDescent="0.2">
      <c r="A247" s="53" t="str">
        <f t="array" ref="A247">IFERROR(INDEX('Annex 2 Designated EHV charges'!$D$11:$D$58, MATCH(0, IF(ISBLANK('Annex 2 Designated EHV charges'!$D$11:$D$58),1, COUNTIF(A$4:$A246, 'Annex 2 Designated EHV charges'!$D$11:$D$58)), 0)),"")</f>
        <v/>
      </c>
      <c r="B247" s="53" t="str">
        <f>IF($A247="","",VLOOKUP($A247,'Annex 2 Designated EHV charges'!$D:$O,2,0))</f>
        <v/>
      </c>
      <c r="C247" s="61" t="str">
        <f>IF($A247="","",VLOOKUP($A247,'Annex 2 Designated EHV charges'!$D:$O,3,0))</f>
        <v/>
      </c>
      <c r="D247" s="61" t="str">
        <f>IF($A247="","",VLOOKUP($A247,'Annex 2 Designated EHV charges'!$D:$O,4,0))</f>
        <v/>
      </c>
      <c r="E247" s="62" t="str">
        <f>IFERROR(IF(VLOOKUP($A247,'Annex 2 Designated EHV charges'!$D:$P,10,FALSE)=0,"",VLOOKUP($A247,'Annex 2 Designated EHV charges'!$D:$P,10,FALSE)),"")</f>
        <v/>
      </c>
      <c r="F247" s="63" t="str">
        <f>IFERROR(IF(VLOOKUP($A247,'Annex 2 Designated EHV charges'!$D:$P,11,FALSE)=0,"",VLOOKUP($A247,'Annex 2 Designated EHV charges'!$D:$P,11,FALSE)),"")</f>
        <v/>
      </c>
      <c r="G247" s="63" t="str">
        <f>IFERROR(IF(VLOOKUP($A247,'Annex 2 Designated EHV charges'!$D:$P,12,FALSE)=0,"",VLOOKUP($A247,'Annex 2 Designated EHV charges'!$D:$P,12,FALSE)),"")</f>
        <v/>
      </c>
      <c r="H247" s="53" t="str">
        <f>IFERROR(IF(VLOOKUP($A247,'Annex 2 Designated EHV charges'!$D:$P,13,FALSE)=0,"",VLOOKUP($A247,'Annex 2 Designated EHV charges'!$D:$P,13,FALSE)),"")</f>
        <v/>
      </c>
    </row>
    <row r="248" spans="1:8" x14ac:dyDescent="0.2">
      <c r="A248" s="53" t="str">
        <f t="array" ref="A248">IFERROR(INDEX('Annex 2 Designated EHV charges'!$D$11:$D$58, MATCH(0, IF(ISBLANK('Annex 2 Designated EHV charges'!$D$11:$D$58),1, COUNTIF(A$4:$A247, 'Annex 2 Designated EHV charges'!$D$11:$D$58)), 0)),"")</f>
        <v/>
      </c>
      <c r="B248" s="53" t="str">
        <f>IF($A248="","",VLOOKUP($A248,'Annex 2 Designated EHV charges'!$D:$O,2,0))</f>
        <v/>
      </c>
      <c r="C248" s="61" t="str">
        <f>IF($A248="","",VLOOKUP($A248,'Annex 2 Designated EHV charges'!$D:$O,3,0))</f>
        <v/>
      </c>
      <c r="D248" s="61" t="str">
        <f>IF($A248="","",VLOOKUP($A248,'Annex 2 Designated EHV charges'!$D:$O,4,0))</f>
        <v/>
      </c>
      <c r="E248" s="62" t="str">
        <f>IFERROR(IF(VLOOKUP($A248,'Annex 2 Designated EHV charges'!$D:$P,10,FALSE)=0,"",VLOOKUP($A248,'Annex 2 Designated EHV charges'!$D:$P,10,FALSE)),"")</f>
        <v/>
      </c>
      <c r="F248" s="63" t="str">
        <f>IFERROR(IF(VLOOKUP($A248,'Annex 2 Designated EHV charges'!$D:$P,11,FALSE)=0,"",VLOOKUP($A248,'Annex 2 Designated EHV charges'!$D:$P,11,FALSE)),"")</f>
        <v/>
      </c>
      <c r="G248" s="63" t="str">
        <f>IFERROR(IF(VLOOKUP($A248,'Annex 2 Designated EHV charges'!$D:$P,12,FALSE)=0,"",VLOOKUP($A248,'Annex 2 Designated EHV charges'!$D:$P,12,FALSE)),"")</f>
        <v/>
      </c>
      <c r="H248" s="53" t="str">
        <f>IFERROR(IF(VLOOKUP($A248,'Annex 2 Designated EHV charges'!$D:$P,13,FALSE)=0,"",VLOOKUP($A248,'Annex 2 Designated EHV charges'!$D:$P,13,FALSE)),"")</f>
        <v/>
      </c>
    </row>
    <row r="249" spans="1:8" x14ac:dyDescent="0.2">
      <c r="A249" s="53" t="str">
        <f t="array" ref="A249">IFERROR(INDEX('Annex 2 Designated EHV charges'!$D$11:$D$58, MATCH(0, IF(ISBLANK('Annex 2 Designated EHV charges'!$D$11:$D$58),1, COUNTIF(A$4:$A248, 'Annex 2 Designated EHV charges'!$D$11:$D$58)), 0)),"")</f>
        <v/>
      </c>
      <c r="B249" s="53" t="str">
        <f>IF($A249="","",VLOOKUP($A249,'Annex 2 Designated EHV charges'!$D:$O,2,0))</f>
        <v/>
      </c>
      <c r="C249" s="61" t="str">
        <f>IF($A249="","",VLOOKUP($A249,'Annex 2 Designated EHV charges'!$D:$O,3,0))</f>
        <v/>
      </c>
      <c r="D249" s="61" t="str">
        <f>IF($A249="","",VLOOKUP($A249,'Annex 2 Designated EHV charges'!$D:$O,4,0))</f>
        <v/>
      </c>
      <c r="E249" s="62" t="str">
        <f>IFERROR(IF(VLOOKUP($A249,'Annex 2 Designated EHV charges'!$D:$P,10,FALSE)=0,"",VLOOKUP($A249,'Annex 2 Designated EHV charges'!$D:$P,10,FALSE)),"")</f>
        <v/>
      </c>
      <c r="F249" s="63" t="str">
        <f>IFERROR(IF(VLOOKUP($A249,'Annex 2 Designated EHV charges'!$D:$P,11,FALSE)=0,"",VLOOKUP($A249,'Annex 2 Designated EHV charges'!$D:$P,11,FALSE)),"")</f>
        <v/>
      </c>
      <c r="G249" s="63" t="str">
        <f>IFERROR(IF(VLOOKUP($A249,'Annex 2 Designated EHV charges'!$D:$P,12,FALSE)=0,"",VLOOKUP($A249,'Annex 2 Designated EHV charges'!$D:$P,12,FALSE)),"")</f>
        <v/>
      </c>
      <c r="H249" s="53" t="str">
        <f>IFERROR(IF(VLOOKUP($A249,'Annex 2 Designated EHV charges'!$D:$P,13,FALSE)=0,"",VLOOKUP($A249,'Annex 2 Designated EHV charges'!$D:$P,13,FALSE)),"")</f>
        <v/>
      </c>
    </row>
    <row r="250" spans="1:8" x14ac:dyDescent="0.2">
      <c r="A250" s="53" t="str">
        <f t="array" ref="A250">IFERROR(INDEX('Annex 2 Designated EHV charges'!$D$11:$D$58, MATCH(0, IF(ISBLANK('Annex 2 Designated EHV charges'!$D$11:$D$58),1, COUNTIF(A$4:$A249, 'Annex 2 Designated EHV charges'!$D$11:$D$58)), 0)),"")</f>
        <v/>
      </c>
      <c r="B250" s="53" t="str">
        <f>IF($A250="","",VLOOKUP($A250,'Annex 2 Designated EHV charges'!$D:$O,2,0))</f>
        <v/>
      </c>
      <c r="C250" s="61" t="str">
        <f>IF($A250="","",VLOOKUP($A250,'Annex 2 Designated EHV charges'!$D:$O,3,0))</f>
        <v/>
      </c>
      <c r="D250" s="61" t="str">
        <f>IF($A250="","",VLOOKUP($A250,'Annex 2 Designated EHV charges'!$D:$O,4,0))</f>
        <v/>
      </c>
      <c r="E250" s="62" t="str">
        <f>IFERROR(IF(VLOOKUP($A250,'Annex 2 Designated EHV charges'!$D:$P,10,FALSE)=0,"",VLOOKUP($A250,'Annex 2 Designated EHV charges'!$D:$P,10,FALSE)),"")</f>
        <v/>
      </c>
      <c r="F250" s="63" t="str">
        <f>IFERROR(IF(VLOOKUP($A250,'Annex 2 Designated EHV charges'!$D:$P,11,FALSE)=0,"",VLOOKUP($A250,'Annex 2 Designated EHV charges'!$D:$P,11,FALSE)),"")</f>
        <v/>
      </c>
      <c r="G250" s="63" t="str">
        <f>IFERROR(IF(VLOOKUP($A250,'Annex 2 Designated EHV charges'!$D:$P,12,FALSE)=0,"",VLOOKUP($A250,'Annex 2 Designated EHV charges'!$D:$P,12,FALSE)),"")</f>
        <v/>
      </c>
      <c r="H250" s="53" t="str">
        <f>IFERROR(IF(VLOOKUP($A250,'Annex 2 Designated EHV charges'!$D:$P,13,FALSE)=0,"",VLOOKUP($A250,'Annex 2 Designated EHV charges'!$D:$P,13,FALSE)),"")</f>
        <v/>
      </c>
    </row>
    <row r="251" spans="1:8" x14ac:dyDescent="0.2">
      <c r="A251" s="53" t="str">
        <f t="array" ref="A251">IFERROR(INDEX('Annex 2 Designated EHV charges'!$D$11:$D$58, MATCH(0, IF(ISBLANK('Annex 2 Designated EHV charges'!$D$11:$D$58),1, COUNTIF(A$4:$A250, 'Annex 2 Designated EHV charges'!$D$11:$D$58)), 0)),"")</f>
        <v/>
      </c>
      <c r="B251" s="53" t="str">
        <f>IF($A251="","",VLOOKUP($A251,'Annex 2 Designated EHV charges'!$D:$O,2,0))</f>
        <v/>
      </c>
      <c r="C251" s="61" t="str">
        <f>IF($A251="","",VLOOKUP($A251,'Annex 2 Designated EHV charges'!$D:$O,3,0))</f>
        <v/>
      </c>
      <c r="D251" s="61" t="str">
        <f>IF($A251="","",VLOOKUP($A251,'Annex 2 Designated EHV charges'!$D:$O,4,0))</f>
        <v/>
      </c>
      <c r="E251" s="62" t="str">
        <f>IFERROR(IF(VLOOKUP($A251,'Annex 2 Designated EHV charges'!$D:$P,10,FALSE)=0,"",VLOOKUP($A251,'Annex 2 Designated EHV charges'!$D:$P,10,FALSE)),"")</f>
        <v/>
      </c>
      <c r="F251" s="63" t="str">
        <f>IFERROR(IF(VLOOKUP($A251,'Annex 2 Designated EHV charges'!$D:$P,11,FALSE)=0,"",VLOOKUP($A251,'Annex 2 Designated EHV charges'!$D:$P,11,FALSE)),"")</f>
        <v/>
      </c>
      <c r="G251" s="63" t="str">
        <f>IFERROR(IF(VLOOKUP($A251,'Annex 2 Designated EHV charges'!$D:$P,12,FALSE)=0,"",VLOOKUP($A251,'Annex 2 Designated EHV charges'!$D:$P,12,FALSE)),"")</f>
        <v/>
      </c>
      <c r="H251" s="53" t="str">
        <f>IFERROR(IF(VLOOKUP($A251,'Annex 2 Designated EHV charges'!$D:$P,13,FALSE)=0,"",VLOOKUP($A251,'Annex 2 Designated EHV charges'!$D:$P,13,FALSE)),"")</f>
        <v/>
      </c>
    </row>
    <row r="252" spans="1:8" x14ac:dyDescent="0.2">
      <c r="A252" s="53" t="str">
        <f t="array" ref="A252">IFERROR(INDEX('Annex 2 Designated EHV charges'!$D$11:$D$58, MATCH(0, IF(ISBLANK('Annex 2 Designated EHV charges'!$D$11:$D$58),1, COUNTIF(A$4:$A251, 'Annex 2 Designated EHV charges'!$D$11:$D$58)), 0)),"")</f>
        <v/>
      </c>
      <c r="B252" s="53" t="str">
        <f>IF($A252="","",VLOOKUP($A252,'Annex 2 Designated EHV charges'!$D:$O,2,0))</f>
        <v/>
      </c>
      <c r="C252" s="61" t="str">
        <f>IF($A252="","",VLOOKUP($A252,'Annex 2 Designated EHV charges'!$D:$O,3,0))</f>
        <v/>
      </c>
      <c r="D252" s="61" t="str">
        <f>IF($A252="","",VLOOKUP($A252,'Annex 2 Designated EHV charges'!$D:$O,4,0))</f>
        <v/>
      </c>
      <c r="E252" s="62" t="str">
        <f>IFERROR(IF(VLOOKUP($A252,'Annex 2 Designated EHV charges'!$D:$P,10,FALSE)=0,"",VLOOKUP($A252,'Annex 2 Designated EHV charges'!$D:$P,10,FALSE)),"")</f>
        <v/>
      </c>
      <c r="F252" s="63" t="str">
        <f>IFERROR(IF(VLOOKUP($A252,'Annex 2 Designated EHV charges'!$D:$P,11,FALSE)=0,"",VLOOKUP($A252,'Annex 2 Designated EHV charges'!$D:$P,11,FALSE)),"")</f>
        <v/>
      </c>
      <c r="G252" s="63" t="str">
        <f>IFERROR(IF(VLOOKUP($A252,'Annex 2 Designated EHV charges'!$D:$P,12,FALSE)=0,"",VLOOKUP($A252,'Annex 2 Designated EHV charges'!$D:$P,12,FALSE)),"")</f>
        <v/>
      </c>
      <c r="H252" s="53" t="str">
        <f>IFERROR(IF(VLOOKUP($A252,'Annex 2 Designated EHV charges'!$D:$P,13,FALSE)=0,"",VLOOKUP($A252,'Annex 2 Designated EHV charges'!$D:$P,13,FALSE)),"")</f>
        <v/>
      </c>
    </row>
    <row r="253" spans="1:8" x14ac:dyDescent="0.2">
      <c r="A253" s="53" t="str">
        <f t="array" ref="A253">IFERROR(INDEX('Annex 2 Designated EHV charges'!$D$11:$D$58, MATCH(0, IF(ISBLANK('Annex 2 Designated EHV charges'!$D$11:$D$58),1, COUNTIF(A$4:$A252, 'Annex 2 Designated EHV charges'!$D$11:$D$58)), 0)),"")</f>
        <v/>
      </c>
      <c r="B253" s="53" t="str">
        <f>IF($A253="","",VLOOKUP($A253,'Annex 2 Designated EHV charges'!$D:$O,2,0))</f>
        <v/>
      </c>
      <c r="C253" s="61" t="str">
        <f>IF($A253="","",VLOOKUP($A253,'Annex 2 Designated EHV charges'!$D:$O,3,0))</f>
        <v/>
      </c>
      <c r="D253" s="61" t="str">
        <f>IF($A253="","",VLOOKUP($A253,'Annex 2 Designated EHV charges'!$D:$O,4,0))</f>
        <v/>
      </c>
      <c r="E253" s="62" t="str">
        <f>IFERROR(IF(VLOOKUP($A253,'Annex 2 Designated EHV charges'!$D:$P,10,FALSE)=0,"",VLOOKUP($A253,'Annex 2 Designated EHV charges'!$D:$P,10,FALSE)),"")</f>
        <v/>
      </c>
      <c r="F253" s="63" t="str">
        <f>IFERROR(IF(VLOOKUP($A253,'Annex 2 Designated EHV charges'!$D:$P,11,FALSE)=0,"",VLOOKUP($A253,'Annex 2 Designated EHV charges'!$D:$P,11,FALSE)),"")</f>
        <v/>
      </c>
      <c r="G253" s="63" t="str">
        <f>IFERROR(IF(VLOOKUP($A253,'Annex 2 Designated EHV charges'!$D:$P,12,FALSE)=0,"",VLOOKUP($A253,'Annex 2 Designated EHV charges'!$D:$P,12,FALSE)),"")</f>
        <v/>
      </c>
      <c r="H253" s="53" t="str">
        <f>IFERROR(IF(VLOOKUP($A253,'Annex 2 Designated EHV charges'!$D:$P,13,FALSE)=0,"",VLOOKUP($A253,'Annex 2 Designated EHV charges'!$D:$P,13,FALSE)),"")</f>
        <v/>
      </c>
    </row>
    <row r="254" spans="1:8" x14ac:dyDescent="0.2">
      <c r="A254" s="53" t="str">
        <f t="array" ref="A254">IFERROR(INDEX('Annex 2 Designated EHV charges'!$D$11:$D$58, MATCH(0, IF(ISBLANK('Annex 2 Designated EHV charges'!$D$11:$D$58),1, COUNTIF(A$4:$A253, 'Annex 2 Designated EHV charges'!$D$11:$D$58)), 0)),"")</f>
        <v/>
      </c>
      <c r="B254" s="53" t="str">
        <f>IF($A254="","",VLOOKUP($A254,'Annex 2 Designated EHV charges'!$D:$O,2,0))</f>
        <v/>
      </c>
      <c r="C254" s="61" t="str">
        <f>IF($A254="","",VLOOKUP($A254,'Annex 2 Designated EHV charges'!$D:$O,3,0))</f>
        <v/>
      </c>
      <c r="D254" s="61" t="str">
        <f>IF($A254="","",VLOOKUP($A254,'Annex 2 Designated EHV charges'!$D:$O,4,0))</f>
        <v/>
      </c>
      <c r="E254" s="62" t="str">
        <f>IFERROR(IF(VLOOKUP($A254,'Annex 2 Designated EHV charges'!$D:$P,10,FALSE)=0,"",VLOOKUP($A254,'Annex 2 Designated EHV charges'!$D:$P,10,FALSE)),"")</f>
        <v/>
      </c>
      <c r="F254" s="63" t="str">
        <f>IFERROR(IF(VLOOKUP($A254,'Annex 2 Designated EHV charges'!$D:$P,11,FALSE)=0,"",VLOOKUP($A254,'Annex 2 Designated EHV charges'!$D:$P,11,FALSE)),"")</f>
        <v/>
      </c>
      <c r="G254" s="63" t="str">
        <f>IFERROR(IF(VLOOKUP($A254,'Annex 2 Designated EHV charges'!$D:$P,12,FALSE)=0,"",VLOOKUP($A254,'Annex 2 Designated EHV charges'!$D:$P,12,FALSE)),"")</f>
        <v/>
      </c>
      <c r="H254" s="53"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showGridLines="0"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75" customHeight="1" x14ac:dyDescent="0.2">
      <c r="A2" s="240" t="str">
        <f>Overview!B4&amp; " - Effective from "&amp;Overview!D4&amp;" - "&amp;Overview!E4&amp;" LV and HV tariffs"</f>
        <v>London Power Networks - Effective from 1 April 2027 - Final LV and HV tariffs</v>
      </c>
      <c r="B2" s="240"/>
      <c r="C2" s="240"/>
      <c r="D2" s="240"/>
      <c r="E2" s="240"/>
      <c r="F2" s="240"/>
      <c r="G2" s="240"/>
      <c r="H2" s="240"/>
      <c r="I2" s="240"/>
      <c r="J2" s="240"/>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66" t="s">
        <v>653</v>
      </c>
      <c r="B4" s="266"/>
      <c r="C4" s="266"/>
      <c r="D4" s="266"/>
      <c r="E4" s="266"/>
      <c r="F4" s="266"/>
      <c r="G4" s="266"/>
      <c r="H4" s="266"/>
      <c r="I4" s="266"/>
      <c r="J4" s="266"/>
      <c r="K4" s="4"/>
      <c r="L4" s="4"/>
    </row>
    <row r="5" spans="1:12" s="2" customFormat="1" ht="71.25" customHeight="1" x14ac:dyDescent="0.2">
      <c r="A5" s="15"/>
      <c r="B5" s="27" t="s">
        <v>651</v>
      </c>
      <c r="C5" s="14" t="s">
        <v>20</v>
      </c>
      <c r="D5" s="55" t="s">
        <v>142</v>
      </c>
      <c r="E5" s="55" t="s">
        <v>144</v>
      </c>
      <c r="F5" s="55" t="s">
        <v>143</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67" t="s">
        <v>1</v>
      </c>
      <c r="B7" s="254" t="s">
        <v>656</v>
      </c>
      <c r="C7" s="255"/>
      <c r="D7" s="255"/>
      <c r="E7" s="255"/>
      <c r="F7" s="255"/>
      <c r="G7" s="255"/>
      <c r="H7" s="255"/>
      <c r="I7" s="255"/>
      <c r="J7" s="256"/>
    </row>
    <row r="8" spans="1:12" x14ac:dyDescent="0.2">
      <c r="A8" s="267"/>
      <c r="B8" s="257"/>
      <c r="C8" s="258"/>
      <c r="D8" s="258"/>
      <c r="E8" s="258"/>
      <c r="F8" s="258"/>
      <c r="G8" s="258"/>
      <c r="H8" s="258"/>
      <c r="I8" s="258"/>
      <c r="J8" s="259"/>
    </row>
    <row r="9" spans="1:12" x14ac:dyDescent="0.2">
      <c r="A9" s="267"/>
      <c r="B9" s="260"/>
      <c r="C9" s="261"/>
      <c r="D9" s="261"/>
      <c r="E9" s="261"/>
      <c r="F9" s="261"/>
      <c r="G9" s="261"/>
      <c r="H9" s="261"/>
      <c r="I9" s="261"/>
      <c r="J9" s="262"/>
    </row>
    <row r="10" spans="1:12" ht="9" customHeight="1" x14ac:dyDescent="0.2">
      <c r="A10" s="51"/>
      <c r="B10" s="51"/>
      <c r="C10" s="51"/>
      <c r="D10" s="51"/>
      <c r="E10" s="51"/>
      <c r="F10" s="51"/>
      <c r="G10" s="51"/>
      <c r="H10" s="51"/>
      <c r="I10" s="51"/>
      <c r="J10" s="51"/>
    </row>
    <row r="11" spans="1:12" ht="9" customHeight="1" x14ac:dyDescent="0.2">
      <c r="A11" s="51"/>
      <c r="B11" s="51"/>
      <c r="C11" s="51"/>
      <c r="D11" s="51"/>
      <c r="E11" s="51"/>
      <c r="F11" s="51"/>
      <c r="G11" s="51"/>
      <c r="H11" s="51"/>
      <c r="I11" s="51"/>
      <c r="J11" s="51"/>
    </row>
    <row r="12" spans="1:12" s="2" customFormat="1" ht="27" customHeight="1" x14ac:dyDescent="0.2">
      <c r="A12" s="266" t="s">
        <v>654</v>
      </c>
      <c r="B12" s="266"/>
      <c r="C12" s="266"/>
      <c r="D12" s="266"/>
      <c r="E12" s="266"/>
      <c r="F12" s="266"/>
      <c r="G12" s="266"/>
      <c r="H12" s="266"/>
      <c r="I12" s="266"/>
      <c r="J12" s="266"/>
      <c r="K12" s="4"/>
      <c r="L12" s="4"/>
    </row>
    <row r="13" spans="1:12" s="2" customFormat="1" ht="58.5" customHeight="1" x14ac:dyDescent="0.2">
      <c r="A13" s="15"/>
      <c r="B13" s="27" t="s">
        <v>651</v>
      </c>
      <c r="C13" s="14" t="s">
        <v>20</v>
      </c>
      <c r="D13" s="55" t="s">
        <v>142</v>
      </c>
      <c r="E13" s="55" t="s">
        <v>144</v>
      </c>
      <c r="F13" s="55" t="s">
        <v>143</v>
      </c>
      <c r="G13" s="14" t="s">
        <v>21</v>
      </c>
      <c r="H13" s="14" t="s">
        <v>22</v>
      </c>
      <c r="I13" s="27" t="s">
        <v>118</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67" t="s">
        <v>1</v>
      </c>
      <c r="B15" s="254" t="s">
        <v>657</v>
      </c>
      <c r="C15" s="255"/>
      <c r="D15" s="255"/>
      <c r="E15" s="255"/>
      <c r="F15" s="255"/>
      <c r="G15" s="255"/>
      <c r="H15" s="255"/>
      <c r="I15" s="255"/>
      <c r="J15" s="263"/>
    </row>
    <row r="16" spans="1:12" ht="12.75" customHeight="1" x14ac:dyDescent="0.2">
      <c r="A16" s="267"/>
      <c r="B16" s="257"/>
      <c r="C16" s="258"/>
      <c r="D16" s="258"/>
      <c r="E16" s="258"/>
      <c r="F16" s="258"/>
      <c r="G16" s="258"/>
      <c r="H16" s="258"/>
      <c r="I16" s="258"/>
      <c r="J16" s="264"/>
    </row>
    <row r="17" spans="1:10" ht="12.75" customHeight="1" x14ac:dyDescent="0.2">
      <c r="A17" s="267"/>
      <c r="B17" s="260"/>
      <c r="C17" s="261"/>
      <c r="D17" s="261"/>
      <c r="E17" s="261"/>
      <c r="F17" s="261"/>
      <c r="G17" s="261"/>
      <c r="H17" s="261"/>
      <c r="I17" s="261"/>
      <c r="J17" s="26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27.75" customHeight="1" x14ac:dyDescent="0.2">
      <c r="A2" s="268" t="str">
        <f>Overview!B4&amp; " - Effective from "&amp;Overview!D4&amp;" - "&amp;Overview!E4&amp;" LDNO tariffs"</f>
        <v>London Power Networks - Effective from 1 April 2027 - Final LDNO tariffs</v>
      </c>
      <c r="B2" s="268"/>
      <c r="C2" s="268"/>
      <c r="D2" s="268"/>
      <c r="E2" s="268"/>
      <c r="F2" s="268"/>
      <c r="G2" s="268"/>
      <c r="H2" s="268"/>
      <c r="I2" s="268"/>
      <c r="J2" s="268"/>
    </row>
    <row r="3" spans="1:13" ht="8.25" customHeight="1" x14ac:dyDescent="0.2">
      <c r="A3" s="86"/>
      <c r="B3" s="86"/>
      <c r="C3" s="86"/>
      <c r="D3" s="86"/>
      <c r="E3" s="86"/>
      <c r="F3" s="86"/>
      <c r="G3" s="86"/>
      <c r="H3" s="86"/>
      <c r="I3" s="86"/>
      <c r="J3" s="86"/>
    </row>
    <row r="4" spans="1:13" ht="27" customHeight="1" x14ac:dyDescent="0.2">
      <c r="A4" s="240" t="s">
        <v>140</v>
      </c>
      <c r="B4" s="240"/>
      <c r="C4" s="240"/>
      <c r="D4" s="240"/>
      <c r="E4" s="88"/>
      <c r="F4" s="240" t="s">
        <v>141</v>
      </c>
      <c r="G4" s="240"/>
      <c r="H4" s="240"/>
      <c r="I4" s="240"/>
      <c r="J4" s="240"/>
      <c r="L4" s="4"/>
    </row>
    <row r="5" spans="1:13" ht="32.25" customHeight="1" x14ac:dyDescent="0.2">
      <c r="A5" s="77" t="s">
        <v>9</v>
      </c>
      <c r="B5" s="80" t="s">
        <v>51</v>
      </c>
      <c r="C5" s="93" t="s">
        <v>52</v>
      </c>
      <c r="D5" s="79" t="s">
        <v>53</v>
      </c>
      <c r="E5" s="84"/>
      <c r="F5" s="244"/>
      <c r="G5" s="245"/>
      <c r="H5" s="81" t="s">
        <v>58</v>
      </c>
      <c r="I5" s="82" t="s">
        <v>59</v>
      </c>
      <c r="J5" s="79" t="s">
        <v>53</v>
      </c>
      <c r="K5" s="84"/>
      <c r="L5" s="4"/>
      <c r="M5" s="4"/>
    </row>
    <row r="6" spans="1:13" ht="56.25" customHeight="1" x14ac:dyDescent="0.2">
      <c r="A6" s="186" t="s">
        <v>54</v>
      </c>
      <c r="B6" s="22" t="s">
        <v>614</v>
      </c>
      <c r="C6" s="185" t="s">
        <v>615</v>
      </c>
      <c r="D6" s="187" t="s">
        <v>616</v>
      </c>
      <c r="E6" s="84"/>
      <c r="F6" s="248" t="s">
        <v>55</v>
      </c>
      <c r="G6" s="248"/>
      <c r="H6" s="22" t="s">
        <v>618</v>
      </c>
      <c r="I6" s="83" t="s">
        <v>619</v>
      </c>
      <c r="J6" s="187" t="s">
        <v>616</v>
      </c>
      <c r="K6" s="84"/>
      <c r="L6" s="4"/>
      <c r="M6" s="4"/>
    </row>
    <row r="7" spans="1:13" ht="56.25" customHeight="1" x14ac:dyDescent="0.2">
      <c r="A7" s="186" t="s">
        <v>12</v>
      </c>
      <c r="B7" s="21"/>
      <c r="C7" s="188"/>
      <c r="D7" s="83" t="s">
        <v>617</v>
      </c>
      <c r="E7" s="84"/>
      <c r="F7" s="248" t="s">
        <v>56</v>
      </c>
      <c r="G7" s="248"/>
      <c r="H7" s="83" t="s">
        <v>620</v>
      </c>
      <c r="I7" s="83" t="s">
        <v>621</v>
      </c>
      <c r="J7" s="187" t="s">
        <v>616</v>
      </c>
      <c r="K7" s="84"/>
      <c r="L7" s="4"/>
      <c r="M7" s="4"/>
    </row>
    <row r="8" spans="1:13" ht="55.5" customHeight="1" x14ac:dyDescent="0.2">
      <c r="A8" s="184" t="s">
        <v>10</v>
      </c>
      <c r="B8" s="235" t="s">
        <v>11</v>
      </c>
      <c r="C8" s="236"/>
      <c r="D8" s="237"/>
      <c r="E8" s="84"/>
      <c r="F8" s="248" t="s">
        <v>622</v>
      </c>
      <c r="G8" s="248"/>
      <c r="H8" s="21"/>
      <c r="I8" s="83" t="s">
        <v>623</v>
      </c>
      <c r="J8" s="187" t="s">
        <v>616</v>
      </c>
      <c r="K8" s="84"/>
      <c r="L8" s="4"/>
      <c r="M8" s="4"/>
    </row>
    <row r="9" spans="1:13" s="78" customFormat="1" ht="55.5" customHeight="1" x14ac:dyDescent="0.2">
      <c r="E9" s="87"/>
      <c r="F9" s="248" t="s">
        <v>62</v>
      </c>
      <c r="G9" s="248"/>
      <c r="H9" s="21"/>
      <c r="I9" s="21"/>
      <c r="J9" s="83" t="s">
        <v>617</v>
      </c>
      <c r="K9" s="84"/>
      <c r="L9" s="51"/>
      <c r="M9" s="51"/>
    </row>
    <row r="10" spans="1:13" ht="30" customHeight="1" x14ac:dyDescent="0.2">
      <c r="F10" s="248" t="s">
        <v>10</v>
      </c>
      <c r="G10" s="248"/>
      <c r="H10" s="269" t="s">
        <v>11</v>
      </c>
      <c r="I10" s="270"/>
      <c r="J10" s="271"/>
    </row>
    <row r="11" spans="1:13" ht="12" customHeight="1" x14ac:dyDescent="0.2"/>
    <row r="12" spans="1:13" ht="12" customHeight="1" x14ac:dyDescent="0.2"/>
    <row r="13" spans="1:13" ht="49.5" customHeight="1" x14ac:dyDescent="0.2">
      <c r="A13" s="27" t="s">
        <v>117</v>
      </c>
      <c r="B13" s="27" t="s">
        <v>399</v>
      </c>
      <c r="C13" s="14" t="s">
        <v>20</v>
      </c>
      <c r="D13" s="55" t="s">
        <v>142</v>
      </c>
      <c r="E13" s="55" t="s">
        <v>144</v>
      </c>
      <c r="F13" s="55" t="s">
        <v>143</v>
      </c>
      <c r="G13" s="14" t="s">
        <v>21</v>
      </c>
      <c r="H13" s="14" t="s">
        <v>22</v>
      </c>
      <c r="I13" s="14" t="s">
        <v>118</v>
      </c>
      <c r="J13" s="14" t="s">
        <v>28</v>
      </c>
    </row>
    <row r="14" spans="1:13" ht="27.75" customHeight="1" x14ac:dyDescent="0.2">
      <c r="A14" s="165" t="s">
        <v>537</v>
      </c>
      <c r="B14" s="26" t="s">
        <v>740</v>
      </c>
      <c r="C14" s="166" t="s">
        <v>673</v>
      </c>
      <c r="D14" s="138">
        <v>8.4540000000000006</v>
      </c>
      <c r="E14" s="139">
        <v>0.86099999999999999</v>
      </c>
      <c r="F14" s="140">
        <v>0</v>
      </c>
      <c r="G14" s="167">
        <v>0</v>
      </c>
      <c r="H14" s="168"/>
      <c r="I14" s="170"/>
      <c r="J14" s="43"/>
    </row>
    <row r="15" spans="1:13" ht="27.75" customHeight="1" x14ac:dyDescent="0.2">
      <c r="A15" s="165" t="s">
        <v>727</v>
      </c>
      <c r="B15" s="26" t="s">
        <v>741</v>
      </c>
      <c r="C15" s="166">
        <v>2</v>
      </c>
      <c r="D15" s="138">
        <v>8.6039999999999992</v>
      </c>
      <c r="E15" s="139">
        <v>1.012</v>
      </c>
      <c r="F15" s="140">
        <v>7.4999999999999997E-2</v>
      </c>
      <c r="G15" s="168"/>
      <c r="H15" s="168"/>
      <c r="I15" s="170"/>
      <c r="J15" s="43"/>
    </row>
    <row r="16" spans="1:13" ht="27.75" customHeight="1" x14ac:dyDescent="0.2">
      <c r="A16" s="165" t="s">
        <v>538</v>
      </c>
      <c r="B16" s="26" t="s">
        <v>742</v>
      </c>
      <c r="C16" s="166" t="s">
        <v>674</v>
      </c>
      <c r="D16" s="138">
        <v>6.6609999999999996</v>
      </c>
      <c r="E16" s="139">
        <v>0.78400000000000003</v>
      </c>
      <c r="F16" s="140">
        <v>5.8000000000000003E-2</v>
      </c>
      <c r="G16" s="167">
        <v>4.0999999999999996</v>
      </c>
      <c r="H16" s="168"/>
      <c r="I16" s="170"/>
      <c r="J16" s="43"/>
    </row>
    <row r="17" spans="1:10" ht="27.75" customHeight="1" x14ac:dyDescent="0.2">
      <c r="A17" s="165" t="s">
        <v>539</v>
      </c>
      <c r="B17" s="26" t="s">
        <v>743</v>
      </c>
      <c r="C17" s="166" t="s">
        <v>674</v>
      </c>
      <c r="D17" s="138">
        <v>6.5780000000000003</v>
      </c>
      <c r="E17" s="139">
        <v>0.7</v>
      </c>
      <c r="F17" s="140">
        <v>0</v>
      </c>
      <c r="G17" s="167">
        <v>0</v>
      </c>
      <c r="H17" s="168"/>
      <c r="I17" s="170"/>
      <c r="J17" s="43"/>
    </row>
    <row r="18" spans="1:10" ht="27.75" customHeight="1" x14ac:dyDescent="0.2">
      <c r="A18" s="165" t="s">
        <v>540</v>
      </c>
      <c r="B18" s="26" t="s">
        <v>744</v>
      </c>
      <c r="C18" s="166" t="s">
        <v>674</v>
      </c>
      <c r="D18" s="138">
        <v>5.9909999999999997</v>
      </c>
      <c r="E18" s="139">
        <v>0.114</v>
      </c>
      <c r="F18" s="140">
        <v>0</v>
      </c>
      <c r="G18" s="167">
        <v>0</v>
      </c>
      <c r="H18" s="168"/>
      <c r="I18" s="170"/>
      <c r="J18" s="43"/>
    </row>
    <row r="19" spans="1:10" ht="27.75" customHeight="1" x14ac:dyDescent="0.2">
      <c r="A19" s="165" t="s">
        <v>541</v>
      </c>
      <c r="B19" s="26" t="s">
        <v>745</v>
      </c>
      <c r="C19" s="166" t="s">
        <v>674</v>
      </c>
      <c r="D19" s="138">
        <v>5.7759999999999998</v>
      </c>
      <c r="E19" s="139">
        <v>0</v>
      </c>
      <c r="F19" s="140">
        <v>0</v>
      </c>
      <c r="G19" s="167">
        <v>0</v>
      </c>
      <c r="H19" s="168"/>
      <c r="I19" s="170"/>
      <c r="J19" s="43"/>
    </row>
    <row r="20" spans="1:10" ht="27.75" customHeight="1" x14ac:dyDescent="0.2">
      <c r="A20" s="165" t="s">
        <v>542</v>
      </c>
      <c r="B20" s="26" t="s">
        <v>746</v>
      </c>
      <c r="C20" s="166" t="s">
        <v>674</v>
      </c>
      <c r="D20" s="138">
        <v>5.4980000000000002</v>
      </c>
      <c r="E20" s="139">
        <v>0</v>
      </c>
      <c r="F20" s="140">
        <v>0</v>
      </c>
      <c r="G20" s="167">
        <v>0</v>
      </c>
      <c r="H20" s="168"/>
      <c r="I20" s="170"/>
      <c r="J20" s="43"/>
    </row>
    <row r="21" spans="1:10" ht="27.75" customHeight="1" x14ac:dyDescent="0.2">
      <c r="A21" s="165" t="s">
        <v>728</v>
      </c>
      <c r="B21" s="26" t="s">
        <v>747</v>
      </c>
      <c r="C21" s="166">
        <v>4</v>
      </c>
      <c r="D21" s="138">
        <v>6.6609999999999996</v>
      </c>
      <c r="E21" s="139">
        <v>0.78400000000000003</v>
      </c>
      <c r="F21" s="140">
        <v>5.8000000000000003E-2</v>
      </c>
      <c r="G21" s="168"/>
      <c r="H21" s="168"/>
      <c r="I21" s="170"/>
      <c r="J21" s="43"/>
    </row>
    <row r="22" spans="1:10" ht="27.75" customHeight="1" x14ac:dyDescent="0.2">
      <c r="A22" s="165" t="s">
        <v>419</v>
      </c>
      <c r="B22" s="26" t="s">
        <v>748</v>
      </c>
      <c r="C22" s="166">
        <v>0</v>
      </c>
      <c r="D22" s="138">
        <v>5.2949999999999999</v>
      </c>
      <c r="E22" s="139">
        <v>0.63900000000000001</v>
      </c>
      <c r="F22" s="140">
        <v>4.2999999999999997E-2</v>
      </c>
      <c r="G22" s="167">
        <v>10.050000000000001</v>
      </c>
      <c r="H22" s="167">
        <v>5.73</v>
      </c>
      <c r="I22" s="171">
        <v>5.73</v>
      </c>
      <c r="J22" s="42">
        <v>0.40699999999999997</v>
      </c>
    </row>
    <row r="23" spans="1:10" ht="27.75" customHeight="1" x14ac:dyDescent="0.2">
      <c r="A23" s="165" t="s">
        <v>420</v>
      </c>
      <c r="B23" s="26" t="s">
        <v>749</v>
      </c>
      <c r="C23" s="166">
        <v>0</v>
      </c>
      <c r="D23" s="138">
        <v>3.387</v>
      </c>
      <c r="E23" s="139">
        <v>0.223</v>
      </c>
      <c r="F23" s="140">
        <v>2.1000000000000001E-2</v>
      </c>
      <c r="G23" s="167">
        <v>1.59</v>
      </c>
      <c r="H23" s="167">
        <v>5.73</v>
      </c>
      <c r="I23" s="171">
        <v>5.73</v>
      </c>
      <c r="J23" s="42">
        <v>0.40699999999999997</v>
      </c>
    </row>
    <row r="24" spans="1:10" ht="27.75" customHeight="1" x14ac:dyDescent="0.2">
      <c r="A24" s="165" t="s">
        <v>421</v>
      </c>
      <c r="B24" s="26" t="s">
        <v>750</v>
      </c>
      <c r="C24" s="166">
        <v>0</v>
      </c>
      <c r="D24" s="138">
        <v>3.3420000000000001</v>
      </c>
      <c r="E24" s="139">
        <v>0.223</v>
      </c>
      <c r="F24" s="140">
        <v>2.1000000000000001E-2</v>
      </c>
      <c r="G24" s="167">
        <v>1.59</v>
      </c>
      <c r="H24" s="167">
        <v>5.73</v>
      </c>
      <c r="I24" s="171">
        <v>5.73</v>
      </c>
      <c r="J24" s="42">
        <v>0.40699999999999997</v>
      </c>
    </row>
    <row r="25" spans="1:10" ht="27.75" customHeight="1" x14ac:dyDescent="0.2">
      <c r="A25" s="165" t="s">
        <v>422</v>
      </c>
      <c r="B25" s="26" t="s">
        <v>751</v>
      </c>
      <c r="C25" s="166">
        <v>0</v>
      </c>
      <c r="D25" s="138">
        <v>3.3010000000000002</v>
      </c>
      <c r="E25" s="139">
        <v>0.223</v>
      </c>
      <c r="F25" s="140">
        <v>2.1000000000000001E-2</v>
      </c>
      <c r="G25" s="167">
        <v>1.59</v>
      </c>
      <c r="H25" s="167">
        <v>5.73</v>
      </c>
      <c r="I25" s="171">
        <v>5.73</v>
      </c>
      <c r="J25" s="42">
        <v>0.40699999999999997</v>
      </c>
    </row>
    <row r="26" spans="1:10" ht="27.75" customHeight="1" x14ac:dyDescent="0.2">
      <c r="A26" s="165" t="s">
        <v>423</v>
      </c>
      <c r="B26" s="26" t="s">
        <v>752</v>
      </c>
      <c r="C26" s="166">
        <v>0</v>
      </c>
      <c r="D26" s="138">
        <v>3.2519999999999998</v>
      </c>
      <c r="E26" s="139">
        <v>0.223</v>
      </c>
      <c r="F26" s="140">
        <v>2.1000000000000001E-2</v>
      </c>
      <c r="G26" s="167">
        <v>1.59</v>
      </c>
      <c r="H26" s="167">
        <v>5.73</v>
      </c>
      <c r="I26" s="171">
        <v>5.73</v>
      </c>
      <c r="J26" s="42">
        <v>0.40699999999999997</v>
      </c>
    </row>
    <row r="27" spans="1:10" ht="27.75" customHeight="1" x14ac:dyDescent="0.2">
      <c r="A27" s="165" t="s">
        <v>729</v>
      </c>
      <c r="B27" s="26" t="s">
        <v>753</v>
      </c>
      <c r="C27" s="172" t="s">
        <v>680</v>
      </c>
      <c r="D27" s="141">
        <v>28.398</v>
      </c>
      <c r="E27" s="142">
        <v>2.319</v>
      </c>
      <c r="F27" s="140">
        <v>0.32600000000000001</v>
      </c>
      <c r="G27" s="168"/>
      <c r="H27" s="168"/>
      <c r="I27" s="170"/>
      <c r="J27" s="43"/>
    </row>
    <row r="28" spans="1:10" ht="27.75" customHeight="1" x14ac:dyDescent="0.2">
      <c r="A28" s="165" t="s">
        <v>730</v>
      </c>
      <c r="B28" s="26" t="s">
        <v>754</v>
      </c>
      <c r="C28" s="172" t="s">
        <v>682</v>
      </c>
      <c r="D28" s="138">
        <v>-7.8280000000000003</v>
      </c>
      <c r="E28" s="139">
        <v>-0.92100000000000004</v>
      </c>
      <c r="F28" s="140">
        <v>-6.8000000000000005E-2</v>
      </c>
      <c r="G28" s="167">
        <v>0</v>
      </c>
      <c r="H28" s="168"/>
      <c r="I28" s="170"/>
      <c r="J28" s="43"/>
    </row>
    <row r="29" spans="1:10" ht="27.75" customHeight="1" x14ac:dyDescent="0.2">
      <c r="A29" s="165" t="s">
        <v>731</v>
      </c>
      <c r="B29" s="26" t="s">
        <v>755</v>
      </c>
      <c r="C29" s="172">
        <v>0</v>
      </c>
      <c r="D29" s="138">
        <v>-7.8280000000000003</v>
      </c>
      <c r="E29" s="139">
        <v>-0.92100000000000004</v>
      </c>
      <c r="F29" s="140">
        <v>-6.8000000000000005E-2</v>
      </c>
      <c r="G29" s="167">
        <v>0</v>
      </c>
      <c r="H29" s="168"/>
      <c r="I29" s="170"/>
      <c r="J29" s="42">
        <v>0.55000000000000004</v>
      </c>
    </row>
    <row r="30" spans="1:10" ht="27.75" customHeight="1" x14ac:dyDescent="0.2">
      <c r="A30" s="169" t="s">
        <v>543</v>
      </c>
      <c r="B30" s="26" t="s">
        <v>756</v>
      </c>
      <c r="C30" s="172" t="s">
        <v>673</v>
      </c>
      <c r="D30" s="138">
        <v>6.5330000000000004</v>
      </c>
      <c r="E30" s="139">
        <v>0.66600000000000004</v>
      </c>
      <c r="F30" s="140">
        <v>0</v>
      </c>
      <c r="G30" s="167">
        <v>0</v>
      </c>
      <c r="H30" s="168"/>
      <c r="I30" s="170"/>
      <c r="J30" s="43"/>
    </row>
    <row r="31" spans="1:10" ht="27.75" customHeight="1" x14ac:dyDescent="0.2">
      <c r="A31" s="169" t="s">
        <v>732</v>
      </c>
      <c r="B31" s="26" t="s">
        <v>757</v>
      </c>
      <c r="C31" s="172">
        <v>2</v>
      </c>
      <c r="D31" s="138">
        <v>6.65</v>
      </c>
      <c r="E31" s="139">
        <v>0.78200000000000003</v>
      </c>
      <c r="F31" s="140">
        <v>5.8000000000000003E-2</v>
      </c>
      <c r="G31" s="168"/>
      <c r="H31" s="168"/>
      <c r="I31" s="170"/>
      <c r="J31" s="43"/>
    </row>
    <row r="32" spans="1:10" ht="27.75" customHeight="1" x14ac:dyDescent="0.2">
      <c r="A32" s="169" t="s">
        <v>544</v>
      </c>
      <c r="B32" s="26" t="s">
        <v>758</v>
      </c>
      <c r="C32" s="172" t="s">
        <v>674</v>
      </c>
      <c r="D32" s="138">
        <v>5.1479999999999997</v>
      </c>
      <c r="E32" s="139">
        <v>0.60599999999999998</v>
      </c>
      <c r="F32" s="140">
        <v>4.4999999999999998E-2</v>
      </c>
      <c r="G32" s="167">
        <v>3.17</v>
      </c>
      <c r="H32" s="168"/>
      <c r="I32" s="170"/>
      <c r="J32" s="43"/>
    </row>
    <row r="33" spans="1:10" ht="27.75" customHeight="1" x14ac:dyDescent="0.2">
      <c r="A33" s="169" t="s">
        <v>545</v>
      </c>
      <c r="B33" s="26" t="s">
        <v>759</v>
      </c>
      <c r="C33" s="172" t="s">
        <v>674</v>
      </c>
      <c r="D33" s="138">
        <v>5.0839999999999996</v>
      </c>
      <c r="E33" s="139">
        <v>0.54100000000000004</v>
      </c>
      <c r="F33" s="140">
        <v>0</v>
      </c>
      <c r="G33" s="167">
        <v>0</v>
      </c>
      <c r="H33" s="168"/>
      <c r="I33" s="170"/>
      <c r="J33" s="43"/>
    </row>
    <row r="34" spans="1:10" ht="27.75" customHeight="1" x14ac:dyDescent="0.2">
      <c r="A34" s="169" t="s">
        <v>546</v>
      </c>
      <c r="B34" s="26" t="s">
        <v>760</v>
      </c>
      <c r="C34" s="172" t="s">
        <v>674</v>
      </c>
      <c r="D34" s="138">
        <v>4.63</v>
      </c>
      <c r="E34" s="139">
        <v>8.7999999999999995E-2</v>
      </c>
      <c r="F34" s="140">
        <v>0</v>
      </c>
      <c r="G34" s="167">
        <v>0</v>
      </c>
      <c r="H34" s="168"/>
      <c r="I34" s="170"/>
      <c r="J34" s="43"/>
    </row>
    <row r="35" spans="1:10" ht="27.75" customHeight="1" x14ac:dyDescent="0.2">
      <c r="A35" s="169" t="s">
        <v>547</v>
      </c>
      <c r="B35" s="26" t="s">
        <v>761</v>
      </c>
      <c r="C35" s="172" t="s">
        <v>674</v>
      </c>
      <c r="D35" s="138">
        <v>4.4640000000000004</v>
      </c>
      <c r="E35" s="139">
        <v>0</v>
      </c>
      <c r="F35" s="140">
        <v>0</v>
      </c>
      <c r="G35" s="167">
        <v>0</v>
      </c>
      <c r="H35" s="168"/>
      <c r="I35" s="170"/>
      <c r="J35" s="43"/>
    </row>
    <row r="36" spans="1:10" ht="27.75" customHeight="1" x14ac:dyDescent="0.2">
      <c r="A36" s="169" t="s">
        <v>548</v>
      </c>
      <c r="B36" s="26" t="s">
        <v>762</v>
      </c>
      <c r="C36" s="172" t="s">
        <v>674</v>
      </c>
      <c r="D36" s="138">
        <v>4.2489999999999997</v>
      </c>
      <c r="E36" s="139">
        <v>0</v>
      </c>
      <c r="F36" s="140">
        <v>0</v>
      </c>
      <c r="G36" s="167">
        <v>0</v>
      </c>
      <c r="H36" s="168"/>
      <c r="I36" s="170"/>
      <c r="J36" s="43"/>
    </row>
    <row r="37" spans="1:10" ht="27.75" customHeight="1" x14ac:dyDescent="0.2">
      <c r="A37" s="169" t="s">
        <v>733</v>
      </c>
      <c r="B37" s="26" t="s">
        <v>763</v>
      </c>
      <c r="C37" s="172">
        <v>4</v>
      </c>
      <c r="D37" s="138">
        <v>5.1479999999999997</v>
      </c>
      <c r="E37" s="139">
        <v>0.60599999999999998</v>
      </c>
      <c r="F37" s="140">
        <v>4.4999999999999998E-2</v>
      </c>
      <c r="G37" s="168"/>
      <c r="H37" s="168"/>
      <c r="I37" s="170"/>
      <c r="J37" s="43"/>
    </row>
    <row r="38" spans="1:10" ht="27.75" customHeight="1" x14ac:dyDescent="0.2">
      <c r="A38" s="169" t="s">
        <v>424</v>
      </c>
      <c r="B38" s="26" t="s">
        <v>764</v>
      </c>
      <c r="C38" s="172">
        <v>0</v>
      </c>
      <c r="D38" s="138">
        <v>4.0919999999999996</v>
      </c>
      <c r="E38" s="139">
        <v>0.49399999999999999</v>
      </c>
      <c r="F38" s="140">
        <v>3.3000000000000002E-2</v>
      </c>
      <c r="G38" s="167">
        <v>7.77</v>
      </c>
      <c r="H38" s="167">
        <v>4.43</v>
      </c>
      <c r="I38" s="171">
        <v>4.43</v>
      </c>
      <c r="J38" s="42">
        <v>0.315</v>
      </c>
    </row>
    <row r="39" spans="1:10" ht="27.75" customHeight="1" x14ac:dyDescent="0.2">
      <c r="A39" s="169" t="s">
        <v>425</v>
      </c>
      <c r="B39" s="26" t="s">
        <v>765</v>
      </c>
      <c r="C39" s="172">
        <v>0</v>
      </c>
      <c r="D39" s="138">
        <v>2.617</v>
      </c>
      <c r="E39" s="139">
        <v>0.17299999999999999</v>
      </c>
      <c r="F39" s="140">
        <v>1.6E-2</v>
      </c>
      <c r="G39" s="167">
        <v>1.23</v>
      </c>
      <c r="H39" s="167">
        <v>4.43</v>
      </c>
      <c r="I39" s="171">
        <v>4.43</v>
      </c>
      <c r="J39" s="42">
        <v>0.315</v>
      </c>
    </row>
    <row r="40" spans="1:10" ht="27.75" customHeight="1" x14ac:dyDescent="0.2">
      <c r="A40" s="169" t="s">
        <v>426</v>
      </c>
      <c r="B40" s="26" t="s">
        <v>766</v>
      </c>
      <c r="C40" s="172">
        <v>0</v>
      </c>
      <c r="D40" s="138">
        <v>2.5830000000000002</v>
      </c>
      <c r="E40" s="139">
        <v>0.17299999999999999</v>
      </c>
      <c r="F40" s="140">
        <v>1.6E-2</v>
      </c>
      <c r="G40" s="167">
        <v>1.23</v>
      </c>
      <c r="H40" s="167">
        <v>4.43</v>
      </c>
      <c r="I40" s="171">
        <v>4.43</v>
      </c>
      <c r="J40" s="42">
        <v>0.315</v>
      </c>
    </row>
    <row r="41" spans="1:10" ht="27.75" customHeight="1" x14ac:dyDescent="0.2">
      <c r="A41" s="169" t="s">
        <v>427</v>
      </c>
      <c r="B41" s="26" t="s">
        <v>767</v>
      </c>
      <c r="C41" s="172">
        <v>0</v>
      </c>
      <c r="D41" s="138">
        <v>2.5510000000000002</v>
      </c>
      <c r="E41" s="139">
        <v>0.17299999999999999</v>
      </c>
      <c r="F41" s="140">
        <v>1.6E-2</v>
      </c>
      <c r="G41" s="167">
        <v>1.23</v>
      </c>
      <c r="H41" s="167">
        <v>4.43</v>
      </c>
      <c r="I41" s="171">
        <v>4.43</v>
      </c>
      <c r="J41" s="42">
        <v>0.315</v>
      </c>
    </row>
    <row r="42" spans="1:10" ht="27.75" customHeight="1" x14ac:dyDescent="0.2">
      <c r="A42" s="169" t="s">
        <v>428</v>
      </c>
      <c r="B42" s="26" t="s">
        <v>768</v>
      </c>
      <c r="C42" s="172">
        <v>0</v>
      </c>
      <c r="D42" s="138">
        <v>2.5129999999999999</v>
      </c>
      <c r="E42" s="139">
        <v>0.17299999999999999</v>
      </c>
      <c r="F42" s="140">
        <v>1.6E-2</v>
      </c>
      <c r="G42" s="167">
        <v>1.23</v>
      </c>
      <c r="H42" s="167">
        <v>4.43</v>
      </c>
      <c r="I42" s="171">
        <v>4.43</v>
      </c>
      <c r="J42" s="42">
        <v>0.315</v>
      </c>
    </row>
    <row r="43" spans="1:10" ht="27.75" customHeight="1" x14ac:dyDescent="0.2">
      <c r="A43" s="169" t="s">
        <v>429</v>
      </c>
      <c r="B43" s="26" t="s">
        <v>769</v>
      </c>
      <c r="C43" s="172">
        <v>0</v>
      </c>
      <c r="D43" s="138">
        <v>3.6680000000000001</v>
      </c>
      <c r="E43" s="139">
        <v>0.46899999999999997</v>
      </c>
      <c r="F43" s="140">
        <v>2.5000000000000001E-2</v>
      </c>
      <c r="G43" s="167">
        <v>9.5500000000000007</v>
      </c>
      <c r="H43" s="167">
        <v>8.1199999999999992</v>
      </c>
      <c r="I43" s="171">
        <v>8.1199999999999992</v>
      </c>
      <c r="J43" s="42">
        <v>0.27200000000000002</v>
      </c>
    </row>
    <row r="44" spans="1:10" ht="27.75" customHeight="1" x14ac:dyDescent="0.2">
      <c r="A44" s="169" t="s">
        <v>430</v>
      </c>
      <c r="B44" s="26" t="s">
        <v>770</v>
      </c>
      <c r="C44" s="172">
        <v>0</v>
      </c>
      <c r="D44" s="138">
        <v>1.5149999999999999</v>
      </c>
      <c r="E44" s="139">
        <v>0</v>
      </c>
      <c r="F44" s="140">
        <v>0</v>
      </c>
      <c r="G44" s="167">
        <v>0</v>
      </c>
      <c r="H44" s="167">
        <v>8.1199999999999992</v>
      </c>
      <c r="I44" s="171">
        <v>8.1199999999999992</v>
      </c>
      <c r="J44" s="42">
        <v>0.27200000000000002</v>
      </c>
    </row>
    <row r="45" spans="1:10" ht="27.75" customHeight="1" x14ac:dyDescent="0.2">
      <c r="A45" s="169" t="s">
        <v>431</v>
      </c>
      <c r="B45" s="26" t="s">
        <v>771</v>
      </c>
      <c r="C45" s="172">
        <v>0</v>
      </c>
      <c r="D45" s="138">
        <v>1.4650000000000001</v>
      </c>
      <c r="E45" s="139">
        <v>0</v>
      </c>
      <c r="F45" s="140">
        <v>0</v>
      </c>
      <c r="G45" s="167">
        <v>0</v>
      </c>
      <c r="H45" s="167">
        <v>8.1199999999999992</v>
      </c>
      <c r="I45" s="171">
        <v>8.1199999999999992</v>
      </c>
      <c r="J45" s="42">
        <v>0.27200000000000002</v>
      </c>
    </row>
    <row r="46" spans="1:10" ht="27.75" customHeight="1" x14ac:dyDescent="0.2">
      <c r="A46" s="169" t="s">
        <v>432</v>
      </c>
      <c r="B46" s="26" t="s">
        <v>772</v>
      </c>
      <c r="C46" s="172">
        <v>0</v>
      </c>
      <c r="D46" s="138">
        <v>1.419</v>
      </c>
      <c r="E46" s="139">
        <v>0</v>
      </c>
      <c r="F46" s="140">
        <v>0</v>
      </c>
      <c r="G46" s="167">
        <v>0</v>
      </c>
      <c r="H46" s="167">
        <v>8.1199999999999992</v>
      </c>
      <c r="I46" s="171">
        <v>8.1199999999999992</v>
      </c>
      <c r="J46" s="42">
        <v>0.27200000000000002</v>
      </c>
    </row>
    <row r="47" spans="1:10" ht="27.75" customHeight="1" x14ac:dyDescent="0.2">
      <c r="A47" s="169" t="s">
        <v>433</v>
      </c>
      <c r="B47" s="26" t="s">
        <v>773</v>
      </c>
      <c r="C47" s="172">
        <v>0</v>
      </c>
      <c r="D47" s="138">
        <v>1.363</v>
      </c>
      <c r="E47" s="139">
        <v>0</v>
      </c>
      <c r="F47" s="140">
        <v>0</v>
      </c>
      <c r="G47" s="167">
        <v>0</v>
      </c>
      <c r="H47" s="167">
        <v>8.1199999999999992</v>
      </c>
      <c r="I47" s="171">
        <v>8.1199999999999992</v>
      </c>
      <c r="J47" s="42">
        <v>0.27200000000000002</v>
      </c>
    </row>
    <row r="48" spans="1:10" ht="27.75" customHeight="1" x14ac:dyDescent="0.2">
      <c r="A48" s="169" t="s">
        <v>434</v>
      </c>
      <c r="B48" s="26" t="s">
        <v>774</v>
      </c>
      <c r="C48" s="172">
        <v>0</v>
      </c>
      <c r="D48" s="138">
        <v>3.0310000000000001</v>
      </c>
      <c r="E48" s="139">
        <v>0.38700000000000001</v>
      </c>
      <c r="F48" s="140">
        <v>2.1999999999999999E-2</v>
      </c>
      <c r="G48" s="167">
        <v>112.49</v>
      </c>
      <c r="H48" s="167">
        <v>9.25</v>
      </c>
      <c r="I48" s="171">
        <v>9.25</v>
      </c>
      <c r="J48" s="42">
        <v>0.23599999999999999</v>
      </c>
    </row>
    <row r="49" spans="1:10" ht="27.75" customHeight="1" x14ac:dyDescent="0.2">
      <c r="A49" s="169" t="s">
        <v>435</v>
      </c>
      <c r="B49" s="26" t="s">
        <v>775</v>
      </c>
      <c r="C49" s="172">
        <v>0</v>
      </c>
      <c r="D49" s="138">
        <v>0.36499999999999999</v>
      </c>
      <c r="E49" s="139">
        <v>0</v>
      </c>
      <c r="F49" s="140">
        <v>0</v>
      </c>
      <c r="G49" s="167">
        <v>0</v>
      </c>
      <c r="H49" s="167">
        <v>9.25</v>
      </c>
      <c r="I49" s="171">
        <v>9.25</v>
      </c>
      <c r="J49" s="42">
        <v>0.23599999999999999</v>
      </c>
    </row>
    <row r="50" spans="1:10" ht="27.75" customHeight="1" x14ac:dyDescent="0.2">
      <c r="A50" s="169" t="s">
        <v>436</v>
      </c>
      <c r="B50" s="26" t="s">
        <v>776</v>
      </c>
      <c r="C50" s="172">
        <v>0</v>
      </c>
      <c r="D50" s="138">
        <v>0.19400000000000001</v>
      </c>
      <c r="E50" s="139">
        <v>0</v>
      </c>
      <c r="F50" s="140">
        <v>0</v>
      </c>
      <c r="G50" s="167">
        <v>0</v>
      </c>
      <c r="H50" s="167">
        <v>9.25</v>
      </c>
      <c r="I50" s="171">
        <v>9.25</v>
      </c>
      <c r="J50" s="42">
        <v>0.23599999999999999</v>
      </c>
    </row>
    <row r="51" spans="1:10" ht="27.75" customHeight="1" x14ac:dyDescent="0.2">
      <c r="A51" s="169" t="s">
        <v>437</v>
      </c>
      <c r="B51" s="26" t="s">
        <v>777</v>
      </c>
      <c r="C51" s="172">
        <v>0</v>
      </c>
      <c r="D51" s="138">
        <v>0.26500000000000001</v>
      </c>
      <c r="E51" s="139">
        <v>0</v>
      </c>
      <c r="F51" s="140">
        <v>0</v>
      </c>
      <c r="G51" s="167">
        <v>0</v>
      </c>
      <c r="H51" s="167">
        <v>9.25</v>
      </c>
      <c r="I51" s="171">
        <v>9.25</v>
      </c>
      <c r="J51" s="42">
        <v>0.23599999999999999</v>
      </c>
    </row>
    <row r="52" spans="1:10" ht="27.75" customHeight="1" x14ac:dyDescent="0.2">
      <c r="A52" s="169" t="s">
        <v>438</v>
      </c>
      <c r="B52" s="26" t="s">
        <v>778</v>
      </c>
      <c r="C52" s="172">
        <v>0</v>
      </c>
      <c r="D52" s="138">
        <v>0.20899999999999999</v>
      </c>
      <c r="E52" s="139">
        <v>0</v>
      </c>
      <c r="F52" s="140">
        <v>0</v>
      </c>
      <c r="G52" s="167">
        <v>0</v>
      </c>
      <c r="H52" s="167">
        <v>9.25</v>
      </c>
      <c r="I52" s="171">
        <v>9.25</v>
      </c>
      <c r="J52" s="42">
        <v>0.23599999999999999</v>
      </c>
    </row>
    <row r="53" spans="1:10" ht="27.75" customHeight="1" x14ac:dyDescent="0.2">
      <c r="A53" s="169" t="s">
        <v>734</v>
      </c>
      <c r="B53" s="26" t="s">
        <v>779</v>
      </c>
      <c r="C53" s="172" t="s">
        <v>680</v>
      </c>
      <c r="D53" s="141">
        <v>21.946000000000002</v>
      </c>
      <c r="E53" s="142">
        <v>1.7929999999999999</v>
      </c>
      <c r="F53" s="140">
        <v>0.252</v>
      </c>
      <c r="G53" s="168"/>
      <c r="H53" s="168"/>
      <c r="I53" s="170"/>
      <c r="J53" s="43"/>
    </row>
    <row r="54" spans="1:10" ht="27.75" customHeight="1" x14ac:dyDescent="0.2">
      <c r="A54" s="169" t="s">
        <v>735</v>
      </c>
      <c r="B54" s="26" t="s">
        <v>780</v>
      </c>
      <c r="C54" s="172" t="s">
        <v>682</v>
      </c>
      <c r="D54" s="138">
        <v>-7.8280000000000003</v>
      </c>
      <c r="E54" s="139">
        <v>-0.92100000000000004</v>
      </c>
      <c r="F54" s="140">
        <v>-6.8000000000000005E-2</v>
      </c>
      <c r="G54" s="167">
        <v>0</v>
      </c>
      <c r="H54" s="168"/>
      <c r="I54" s="170"/>
      <c r="J54" s="43"/>
    </row>
    <row r="55" spans="1:10" ht="27.75" customHeight="1" x14ac:dyDescent="0.2">
      <c r="A55" s="169" t="s">
        <v>736</v>
      </c>
      <c r="B55" s="26" t="s">
        <v>781</v>
      </c>
      <c r="C55" s="172">
        <v>0</v>
      </c>
      <c r="D55" s="138">
        <v>-6.4329999999999998</v>
      </c>
      <c r="E55" s="139">
        <v>-0.76900000000000002</v>
      </c>
      <c r="F55" s="140">
        <v>-5.3999999999999999E-2</v>
      </c>
      <c r="G55" s="167">
        <v>0</v>
      </c>
      <c r="H55" s="168"/>
      <c r="I55" s="170"/>
      <c r="J55" s="43"/>
    </row>
    <row r="56" spans="1:10" ht="27.75" customHeight="1" x14ac:dyDescent="0.2">
      <c r="A56" s="169" t="s">
        <v>737</v>
      </c>
      <c r="B56" s="26" t="s">
        <v>782</v>
      </c>
      <c r="C56" s="172">
        <v>0</v>
      </c>
      <c r="D56" s="138">
        <v>-7.8280000000000003</v>
      </c>
      <c r="E56" s="139">
        <v>-0.92100000000000004</v>
      </c>
      <c r="F56" s="140">
        <v>-6.8000000000000005E-2</v>
      </c>
      <c r="G56" s="167">
        <v>0</v>
      </c>
      <c r="H56" s="168"/>
      <c r="I56" s="170"/>
      <c r="J56" s="42">
        <v>0.55000000000000004</v>
      </c>
    </row>
    <row r="57" spans="1:10" ht="27.75" customHeight="1" x14ac:dyDescent="0.2">
      <c r="A57" s="169" t="s">
        <v>738</v>
      </c>
      <c r="B57" s="26" t="s">
        <v>783</v>
      </c>
      <c r="C57" s="172">
        <v>0</v>
      </c>
      <c r="D57" s="138">
        <v>-6.4329999999999998</v>
      </c>
      <c r="E57" s="139">
        <v>-0.76900000000000002</v>
      </c>
      <c r="F57" s="140">
        <v>-5.3999999999999999E-2</v>
      </c>
      <c r="G57" s="167">
        <v>0</v>
      </c>
      <c r="H57" s="168"/>
      <c r="I57" s="170"/>
      <c r="J57" s="42">
        <v>0.433</v>
      </c>
    </row>
    <row r="58" spans="1:10" ht="27.75" customHeight="1" x14ac:dyDescent="0.2">
      <c r="A58" s="169" t="s">
        <v>739</v>
      </c>
      <c r="B58" s="26" t="s">
        <v>784</v>
      </c>
      <c r="C58" s="172">
        <v>0</v>
      </c>
      <c r="D58" s="138">
        <v>-4.1790000000000003</v>
      </c>
      <c r="E58" s="139">
        <v>-0.53400000000000003</v>
      </c>
      <c r="F58" s="140">
        <v>-2.9000000000000001E-2</v>
      </c>
      <c r="G58" s="167">
        <v>0</v>
      </c>
      <c r="H58" s="168"/>
      <c r="I58" s="170"/>
      <c r="J58" s="42">
        <v>0.38200000000000001</v>
      </c>
    </row>
    <row r="59" spans="1:10" ht="27.75" customHeight="1" x14ac:dyDescent="0.2">
      <c r="A59" s="165" t="s">
        <v>549</v>
      </c>
      <c r="B59" s="26" t="s">
        <v>785</v>
      </c>
      <c r="C59" s="172" t="s">
        <v>673</v>
      </c>
      <c r="D59" s="138">
        <v>5.8259999999999996</v>
      </c>
      <c r="E59" s="139">
        <v>0.59399999999999997</v>
      </c>
      <c r="F59" s="140">
        <v>0</v>
      </c>
      <c r="G59" s="167">
        <v>0</v>
      </c>
      <c r="H59" s="168"/>
      <c r="I59" s="170"/>
      <c r="J59" s="43"/>
    </row>
    <row r="60" spans="1:10" ht="27.75" customHeight="1" x14ac:dyDescent="0.2">
      <c r="A60" s="165" t="s">
        <v>687</v>
      </c>
      <c r="B60" s="26" t="s">
        <v>786</v>
      </c>
      <c r="C60" s="172">
        <v>2</v>
      </c>
      <c r="D60" s="138">
        <v>5.93</v>
      </c>
      <c r="E60" s="139">
        <v>0.69799999999999995</v>
      </c>
      <c r="F60" s="140">
        <v>5.0999999999999997E-2</v>
      </c>
      <c r="G60" s="168"/>
      <c r="H60" s="168"/>
      <c r="I60" s="170"/>
      <c r="J60" s="43"/>
    </row>
    <row r="61" spans="1:10" ht="27.75" customHeight="1" x14ac:dyDescent="0.2">
      <c r="A61" s="165" t="s">
        <v>550</v>
      </c>
      <c r="B61" s="26" t="s">
        <v>787</v>
      </c>
      <c r="C61" s="172" t="s">
        <v>674</v>
      </c>
      <c r="D61" s="138">
        <v>4.5910000000000002</v>
      </c>
      <c r="E61" s="139">
        <v>0.54</v>
      </c>
      <c r="F61" s="140">
        <v>0.04</v>
      </c>
      <c r="G61" s="167">
        <v>2.82</v>
      </c>
      <c r="H61" s="168"/>
      <c r="I61" s="170"/>
      <c r="J61" s="43"/>
    </row>
    <row r="62" spans="1:10" ht="27.75" customHeight="1" x14ac:dyDescent="0.2">
      <c r="A62" s="165" t="s">
        <v>551</v>
      </c>
      <c r="B62" s="26" t="s">
        <v>788</v>
      </c>
      <c r="C62" s="172" t="s">
        <v>674</v>
      </c>
      <c r="D62" s="138">
        <v>4.5330000000000004</v>
      </c>
      <c r="E62" s="139">
        <v>0.48299999999999998</v>
      </c>
      <c r="F62" s="140">
        <v>0</v>
      </c>
      <c r="G62" s="167">
        <v>0</v>
      </c>
      <c r="H62" s="168"/>
      <c r="I62" s="170"/>
      <c r="J62" s="43"/>
    </row>
    <row r="63" spans="1:10" ht="27.75" customHeight="1" x14ac:dyDescent="0.2">
      <c r="A63" s="165" t="s">
        <v>552</v>
      </c>
      <c r="B63" s="26" t="s">
        <v>789</v>
      </c>
      <c r="C63" s="172" t="s">
        <v>674</v>
      </c>
      <c r="D63" s="138">
        <v>4.1289999999999996</v>
      </c>
      <c r="E63" s="139">
        <v>7.8E-2</v>
      </c>
      <c r="F63" s="140">
        <v>0</v>
      </c>
      <c r="G63" s="167">
        <v>0</v>
      </c>
      <c r="H63" s="168"/>
      <c r="I63" s="170"/>
      <c r="J63" s="43"/>
    </row>
    <row r="64" spans="1:10" ht="27.75" customHeight="1" x14ac:dyDescent="0.2">
      <c r="A64" s="165" t="s">
        <v>553</v>
      </c>
      <c r="B64" s="26" t="s">
        <v>790</v>
      </c>
      <c r="C64" s="172" t="s">
        <v>674</v>
      </c>
      <c r="D64" s="138">
        <v>3.9809999999999999</v>
      </c>
      <c r="E64" s="139">
        <v>0</v>
      </c>
      <c r="F64" s="140">
        <v>0</v>
      </c>
      <c r="G64" s="167">
        <v>0</v>
      </c>
      <c r="H64" s="168"/>
      <c r="I64" s="170"/>
      <c r="J64" s="43"/>
    </row>
    <row r="65" spans="1:10" ht="27.75" customHeight="1" x14ac:dyDescent="0.2">
      <c r="A65" s="165" t="s">
        <v>554</v>
      </c>
      <c r="B65" s="26" t="s">
        <v>791</v>
      </c>
      <c r="C65" s="172" t="s">
        <v>674</v>
      </c>
      <c r="D65" s="138">
        <v>3.7890000000000001</v>
      </c>
      <c r="E65" s="139">
        <v>0</v>
      </c>
      <c r="F65" s="140">
        <v>0</v>
      </c>
      <c r="G65" s="167">
        <v>0</v>
      </c>
      <c r="H65" s="168"/>
      <c r="I65" s="170"/>
      <c r="J65" s="43"/>
    </row>
    <row r="66" spans="1:10" ht="27.75" customHeight="1" x14ac:dyDescent="0.2">
      <c r="A66" s="165" t="s">
        <v>688</v>
      </c>
      <c r="B66" s="26" t="s">
        <v>792</v>
      </c>
      <c r="C66" s="172">
        <v>4</v>
      </c>
      <c r="D66" s="138">
        <v>4.5910000000000002</v>
      </c>
      <c r="E66" s="139">
        <v>0.54</v>
      </c>
      <c r="F66" s="140">
        <v>0.04</v>
      </c>
      <c r="G66" s="168"/>
      <c r="H66" s="168"/>
      <c r="I66" s="170"/>
      <c r="J66" s="43"/>
    </row>
    <row r="67" spans="1:10" ht="27.75" customHeight="1" x14ac:dyDescent="0.2">
      <c r="A67" s="165" t="s">
        <v>499</v>
      </c>
      <c r="B67" s="26" t="s">
        <v>793</v>
      </c>
      <c r="C67" s="172">
        <v>0</v>
      </c>
      <c r="D67" s="138">
        <v>3.649</v>
      </c>
      <c r="E67" s="139">
        <v>0.44</v>
      </c>
      <c r="F67" s="140">
        <v>0.03</v>
      </c>
      <c r="G67" s="167">
        <v>6.93</v>
      </c>
      <c r="H67" s="167">
        <v>3.95</v>
      </c>
      <c r="I67" s="171">
        <v>3.95</v>
      </c>
      <c r="J67" s="42">
        <v>0.28100000000000003</v>
      </c>
    </row>
    <row r="68" spans="1:10" ht="27.75" customHeight="1" x14ac:dyDescent="0.2">
      <c r="A68" s="165" t="s">
        <v>500</v>
      </c>
      <c r="B68" s="26" t="s">
        <v>794</v>
      </c>
      <c r="C68" s="172">
        <v>0</v>
      </c>
      <c r="D68" s="138">
        <v>2.3340000000000001</v>
      </c>
      <c r="E68" s="139">
        <v>0.154</v>
      </c>
      <c r="F68" s="140">
        <v>1.4E-2</v>
      </c>
      <c r="G68" s="167">
        <v>1.1000000000000001</v>
      </c>
      <c r="H68" s="167">
        <v>3.95</v>
      </c>
      <c r="I68" s="171">
        <v>3.95</v>
      </c>
      <c r="J68" s="42">
        <v>0.28100000000000003</v>
      </c>
    </row>
    <row r="69" spans="1:10" ht="27.75" customHeight="1" x14ac:dyDescent="0.2">
      <c r="A69" s="165" t="s">
        <v>501</v>
      </c>
      <c r="B69" s="26" t="s">
        <v>795</v>
      </c>
      <c r="C69" s="172">
        <v>0</v>
      </c>
      <c r="D69" s="138">
        <v>2.3029999999999999</v>
      </c>
      <c r="E69" s="139">
        <v>0.154</v>
      </c>
      <c r="F69" s="140">
        <v>1.4E-2</v>
      </c>
      <c r="G69" s="167">
        <v>1.1000000000000001</v>
      </c>
      <c r="H69" s="167">
        <v>3.95</v>
      </c>
      <c r="I69" s="171">
        <v>3.95</v>
      </c>
      <c r="J69" s="42">
        <v>0.28100000000000003</v>
      </c>
    </row>
    <row r="70" spans="1:10" ht="27.75" customHeight="1" x14ac:dyDescent="0.2">
      <c r="A70" s="165" t="s">
        <v>502</v>
      </c>
      <c r="B70" s="26" t="s">
        <v>796</v>
      </c>
      <c r="C70" s="172">
        <v>0</v>
      </c>
      <c r="D70" s="138">
        <v>2.2749999999999999</v>
      </c>
      <c r="E70" s="139">
        <v>0.154</v>
      </c>
      <c r="F70" s="140">
        <v>1.4E-2</v>
      </c>
      <c r="G70" s="167">
        <v>1.1000000000000001</v>
      </c>
      <c r="H70" s="167">
        <v>3.95</v>
      </c>
      <c r="I70" s="171">
        <v>3.95</v>
      </c>
      <c r="J70" s="42">
        <v>0.28100000000000003</v>
      </c>
    </row>
    <row r="71" spans="1:10" ht="27.75" customHeight="1" x14ac:dyDescent="0.2">
      <c r="A71" s="165" t="s">
        <v>503</v>
      </c>
      <c r="B71" s="26" t="s">
        <v>797</v>
      </c>
      <c r="C71" s="172">
        <v>0</v>
      </c>
      <c r="D71" s="138">
        <v>2.2410000000000001</v>
      </c>
      <c r="E71" s="139">
        <v>0.154</v>
      </c>
      <c r="F71" s="140">
        <v>1.4E-2</v>
      </c>
      <c r="G71" s="167">
        <v>1.1000000000000001</v>
      </c>
      <c r="H71" s="167">
        <v>3.95</v>
      </c>
      <c r="I71" s="171">
        <v>3.95</v>
      </c>
      <c r="J71" s="42">
        <v>0.28100000000000003</v>
      </c>
    </row>
    <row r="72" spans="1:10" ht="27.75" customHeight="1" x14ac:dyDescent="0.2">
      <c r="A72" s="165" t="s">
        <v>504</v>
      </c>
      <c r="B72" s="26" t="s">
        <v>798</v>
      </c>
      <c r="C72" s="172">
        <v>0</v>
      </c>
      <c r="D72" s="138">
        <v>3.2440000000000002</v>
      </c>
      <c r="E72" s="139">
        <v>0.41399999999999998</v>
      </c>
      <c r="F72" s="140">
        <v>2.3E-2</v>
      </c>
      <c r="G72" s="167">
        <v>8.44</v>
      </c>
      <c r="H72" s="167">
        <v>7.18</v>
      </c>
      <c r="I72" s="171">
        <v>7.18</v>
      </c>
      <c r="J72" s="42">
        <v>0.24099999999999999</v>
      </c>
    </row>
    <row r="73" spans="1:10" ht="27.75" customHeight="1" x14ac:dyDescent="0.2">
      <c r="A73" s="165" t="s">
        <v>505</v>
      </c>
      <c r="B73" s="26" t="s">
        <v>799</v>
      </c>
      <c r="C73" s="172">
        <v>0</v>
      </c>
      <c r="D73" s="138">
        <v>1.34</v>
      </c>
      <c r="E73" s="139">
        <v>0</v>
      </c>
      <c r="F73" s="140">
        <v>0</v>
      </c>
      <c r="G73" s="167">
        <v>0</v>
      </c>
      <c r="H73" s="167">
        <v>7.18</v>
      </c>
      <c r="I73" s="171">
        <v>7.18</v>
      </c>
      <c r="J73" s="42">
        <v>0.24099999999999999</v>
      </c>
    </row>
    <row r="74" spans="1:10" ht="27.75" customHeight="1" x14ac:dyDescent="0.2">
      <c r="A74" s="165" t="s">
        <v>506</v>
      </c>
      <c r="B74" s="26" t="s">
        <v>800</v>
      </c>
      <c r="C74" s="172">
        <v>0</v>
      </c>
      <c r="D74" s="138">
        <v>1.2949999999999999</v>
      </c>
      <c r="E74" s="139">
        <v>0</v>
      </c>
      <c r="F74" s="140">
        <v>0</v>
      </c>
      <c r="G74" s="167">
        <v>0</v>
      </c>
      <c r="H74" s="167">
        <v>7.18</v>
      </c>
      <c r="I74" s="171">
        <v>7.18</v>
      </c>
      <c r="J74" s="42">
        <v>0.24099999999999999</v>
      </c>
    </row>
    <row r="75" spans="1:10" ht="27.75" customHeight="1" x14ac:dyDescent="0.2">
      <c r="A75" s="165" t="s">
        <v>507</v>
      </c>
      <c r="B75" s="26" t="s">
        <v>801</v>
      </c>
      <c r="C75" s="172">
        <v>0</v>
      </c>
      <c r="D75" s="138">
        <v>1.2549999999999999</v>
      </c>
      <c r="E75" s="139">
        <v>0</v>
      </c>
      <c r="F75" s="140">
        <v>0</v>
      </c>
      <c r="G75" s="167">
        <v>0</v>
      </c>
      <c r="H75" s="167">
        <v>7.18</v>
      </c>
      <c r="I75" s="171">
        <v>7.18</v>
      </c>
      <c r="J75" s="42">
        <v>0.24099999999999999</v>
      </c>
    </row>
    <row r="76" spans="1:10" ht="27.75" customHeight="1" x14ac:dyDescent="0.2">
      <c r="A76" s="165" t="s">
        <v>508</v>
      </c>
      <c r="B76" s="26" t="s">
        <v>802</v>
      </c>
      <c r="C76" s="172">
        <v>0</v>
      </c>
      <c r="D76" s="138">
        <v>1.2050000000000001</v>
      </c>
      <c r="E76" s="139">
        <v>0</v>
      </c>
      <c r="F76" s="140">
        <v>0</v>
      </c>
      <c r="G76" s="167">
        <v>0</v>
      </c>
      <c r="H76" s="167">
        <v>7.18</v>
      </c>
      <c r="I76" s="171">
        <v>7.18</v>
      </c>
      <c r="J76" s="42">
        <v>0.24099999999999999</v>
      </c>
    </row>
    <row r="77" spans="1:10" ht="27.75" customHeight="1" x14ac:dyDescent="0.2">
      <c r="A77" s="165" t="s">
        <v>509</v>
      </c>
      <c r="B77" s="26" t="s">
        <v>803</v>
      </c>
      <c r="C77" s="172">
        <v>0</v>
      </c>
      <c r="D77" s="138">
        <v>2.6680000000000001</v>
      </c>
      <c r="E77" s="139">
        <v>0.34100000000000003</v>
      </c>
      <c r="F77" s="140">
        <v>0.02</v>
      </c>
      <c r="G77" s="167">
        <v>99</v>
      </c>
      <c r="H77" s="167">
        <v>8.14</v>
      </c>
      <c r="I77" s="171">
        <v>8.14</v>
      </c>
      <c r="J77" s="42">
        <v>0.20799999999999999</v>
      </c>
    </row>
    <row r="78" spans="1:10" ht="27.75" customHeight="1" x14ac:dyDescent="0.2">
      <c r="A78" s="165" t="s">
        <v>510</v>
      </c>
      <c r="B78" s="26" t="s">
        <v>804</v>
      </c>
      <c r="C78" s="172">
        <v>0</v>
      </c>
      <c r="D78" s="138">
        <v>0.32200000000000001</v>
      </c>
      <c r="E78" s="139">
        <v>0</v>
      </c>
      <c r="F78" s="140">
        <v>0</v>
      </c>
      <c r="G78" s="167">
        <v>0</v>
      </c>
      <c r="H78" s="167">
        <v>8.14</v>
      </c>
      <c r="I78" s="171">
        <v>8.14</v>
      </c>
      <c r="J78" s="42">
        <v>0.20799999999999999</v>
      </c>
    </row>
    <row r="79" spans="1:10" ht="27.75" customHeight="1" x14ac:dyDescent="0.2">
      <c r="A79" s="165" t="s">
        <v>511</v>
      </c>
      <c r="B79" s="26" t="s">
        <v>805</v>
      </c>
      <c r="C79" s="172">
        <v>0</v>
      </c>
      <c r="D79" s="138">
        <v>0.17100000000000001</v>
      </c>
      <c r="E79" s="139">
        <v>0</v>
      </c>
      <c r="F79" s="140">
        <v>0</v>
      </c>
      <c r="G79" s="167">
        <v>0</v>
      </c>
      <c r="H79" s="167">
        <v>8.14</v>
      </c>
      <c r="I79" s="171">
        <v>8.14</v>
      </c>
      <c r="J79" s="42">
        <v>0.20799999999999999</v>
      </c>
    </row>
    <row r="80" spans="1:10" ht="27.75" customHeight="1" x14ac:dyDescent="0.2">
      <c r="A80" s="165" t="s">
        <v>512</v>
      </c>
      <c r="B80" s="26" t="s">
        <v>806</v>
      </c>
      <c r="C80" s="172">
        <v>0</v>
      </c>
      <c r="D80" s="138">
        <v>0.23300000000000001</v>
      </c>
      <c r="E80" s="139">
        <v>0</v>
      </c>
      <c r="F80" s="140">
        <v>0</v>
      </c>
      <c r="G80" s="167">
        <v>0</v>
      </c>
      <c r="H80" s="167">
        <v>8.14</v>
      </c>
      <c r="I80" s="171">
        <v>8.14</v>
      </c>
      <c r="J80" s="42">
        <v>0.20799999999999999</v>
      </c>
    </row>
    <row r="81" spans="1:10" ht="27.75" customHeight="1" x14ac:dyDescent="0.2">
      <c r="A81" s="165" t="s">
        <v>513</v>
      </c>
      <c r="B81" s="26" t="s">
        <v>807</v>
      </c>
      <c r="C81" s="172">
        <v>0</v>
      </c>
      <c r="D81" s="138">
        <v>0.184</v>
      </c>
      <c r="E81" s="139">
        <v>0</v>
      </c>
      <c r="F81" s="140">
        <v>0</v>
      </c>
      <c r="G81" s="167">
        <v>0</v>
      </c>
      <c r="H81" s="167">
        <v>8.14</v>
      </c>
      <c r="I81" s="171">
        <v>8.14</v>
      </c>
      <c r="J81" s="42">
        <v>0.20799999999999999</v>
      </c>
    </row>
    <row r="82" spans="1:10" ht="27.75" customHeight="1" x14ac:dyDescent="0.2">
      <c r="A82" s="165" t="s">
        <v>689</v>
      </c>
      <c r="B82" s="26" t="s">
        <v>808</v>
      </c>
      <c r="C82" s="172" t="s">
        <v>680</v>
      </c>
      <c r="D82" s="141">
        <v>19.571000000000002</v>
      </c>
      <c r="E82" s="142">
        <v>1.599</v>
      </c>
      <c r="F82" s="140">
        <v>0.22500000000000001</v>
      </c>
      <c r="G82" s="168"/>
      <c r="H82" s="168"/>
      <c r="I82" s="170"/>
      <c r="J82" s="43"/>
    </row>
    <row r="83" spans="1:10" ht="27.75" customHeight="1" x14ac:dyDescent="0.2">
      <c r="A83" s="165" t="s">
        <v>690</v>
      </c>
      <c r="B83" s="26" t="s">
        <v>809</v>
      </c>
      <c r="C83" s="172" t="s">
        <v>682</v>
      </c>
      <c r="D83" s="138">
        <v>-5.4139999999999997</v>
      </c>
      <c r="E83" s="139">
        <v>-0.63700000000000001</v>
      </c>
      <c r="F83" s="140">
        <v>-4.7E-2</v>
      </c>
      <c r="G83" s="167">
        <v>0</v>
      </c>
      <c r="H83" s="168"/>
      <c r="I83" s="170"/>
      <c r="J83" s="43"/>
    </row>
    <row r="84" spans="1:10" ht="27.75" customHeight="1" x14ac:dyDescent="0.2">
      <c r="A84" s="165" t="s">
        <v>691</v>
      </c>
      <c r="B84" s="26" t="s">
        <v>810</v>
      </c>
      <c r="C84" s="172">
        <v>0</v>
      </c>
      <c r="D84" s="138">
        <v>-4.9210000000000003</v>
      </c>
      <c r="E84" s="139">
        <v>-0.58799999999999997</v>
      </c>
      <c r="F84" s="140">
        <v>-4.1000000000000002E-2</v>
      </c>
      <c r="G84" s="167">
        <v>0</v>
      </c>
      <c r="H84" s="168"/>
      <c r="I84" s="170"/>
      <c r="J84" s="43"/>
    </row>
    <row r="85" spans="1:10" ht="27.75" customHeight="1" x14ac:dyDescent="0.2">
      <c r="A85" s="165" t="s">
        <v>692</v>
      </c>
      <c r="B85" s="26" t="s">
        <v>811</v>
      </c>
      <c r="C85" s="172">
        <v>0</v>
      </c>
      <c r="D85" s="138">
        <v>-5.4139999999999997</v>
      </c>
      <c r="E85" s="139">
        <v>-0.63700000000000001</v>
      </c>
      <c r="F85" s="140">
        <v>-4.7E-2</v>
      </c>
      <c r="G85" s="167">
        <v>0</v>
      </c>
      <c r="H85" s="168"/>
      <c r="I85" s="170"/>
      <c r="J85" s="42">
        <v>0.38</v>
      </c>
    </row>
    <row r="86" spans="1:10" ht="27.75" customHeight="1" x14ac:dyDescent="0.2">
      <c r="A86" s="165" t="s">
        <v>693</v>
      </c>
      <c r="B86" s="26" t="s">
        <v>812</v>
      </c>
      <c r="C86" s="172">
        <v>0</v>
      </c>
      <c r="D86" s="138">
        <v>-4.9210000000000003</v>
      </c>
      <c r="E86" s="139">
        <v>-0.58799999999999997</v>
      </c>
      <c r="F86" s="140">
        <v>-4.1000000000000002E-2</v>
      </c>
      <c r="G86" s="167">
        <v>0</v>
      </c>
      <c r="H86" s="168"/>
      <c r="I86" s="170"/>
      <c r="J86" s="42">
        <v>0.33100000000000002</v>
      </c>
    </row>
    <row r="87" spans="1:10" ht="27.75" customHeight="1" x14ac:dyDescent="0.2">
      <c r="A87" s="165" t="s">
        <v>694</v>
      </c>
      <c r="B87" s="26" t="s">
        <v>813</v>
      </c>
      <c r="C87" s="172">
        <v>0</v>
      </c>
      <c r="D87" s="138">
        <v>-4.1790000000000003</v>
      </c>
      <c r="E87" s="139">
        <v>-0.53400000000000003</v>
      </c>
      <c r="F87" s="140">
        <v>-2.9000000000000001E-2</v>
      </c>
      <c r="G87" s="167">
        <v>9.08</v>
      </c>
      <c r="H87" s="168"/>
      <c r="I87" s="170"/>
      <c r="J87" s="42">
        <v>0.38200000000000001</v>
      </c>
    </row>
    <row r="88" spans="1:10" ht="27.75" customHeight="1" x14ac:dyDescent="0.2">
      <c r="A88" s="165" t="s">
        <v>555</v>
      </c>
      <c r="B88" s="26" t="s">
        <v>814</v>
      </c>
      <c r="C88" s="172" t="s">
        <v>673</v>
      </c>
      <c r="D88" s="138">
        <v>4.4729999999999999</v>
      </c>
      <c r="E88" s="139">
        <v>0.45600000000000002</v>
      </c>
      <c r="F88" s="140">
        <v>0</v>
      </c>
      <c r="G88" s="167">
        <v>0</v>
      </c>
      <c r="H88" s="168"/>
      <c r="I88" s="170"/>
      <c r="J88" s="43"/>
    </row>
    <row r="89" spans="1:10" ht="27.75" customHeight="1" x14ac:dyDescent="0.2">
      <c r="A89" s="165" t="s">
        <v>695</v>
      </c>
      <c r="B89" s="26" t="s">
        <v>815</v>
      </c>
      <c r="C89" s="172">
        <v>2</v>
      </c>
      <c r="D89" s="138">
        <v>4.5519999999999996</v>
      </c>
      <c r="E89" s="139">
        <v>0.53500000000000003</v>
      </c>
      <c r="F89" s="140">
        <v>0.04</v>
      </c>
      <c r="G89" s="168"/>
      <c r="H89" s="168"/>
      <c r="I89" s="170"/>
      <c r="J89" s="43"/>
    </row>
    <row r="90" spans="1:10" ht="27.75" customHeight="1" x14ac:dyDescent="0.2">
      <c r="A90" s="165" t="s">
        <v>556</v>
      </c>
      <c r="B90" s="26" t="s">
        <v>816</v>
      </c>
      <c r="C90" s="172" t="s">
        <v>674</v>
      </c>
      <c r="D90" s="138">
        <v>3.524</v>
      </c>
      <c r="E90" s="139">
        <v>0.41499999999999998</v>
      </c>
      <c r="F90" s="140">
        <v>3.1E-2</v>
      </c>
      <c r="G90" s="167">
        <v>2.17</v>
      </c>
      <c r="H90" s="168"/>
      <c r="I90" s="170"/>
      <c r="J90" s="43"/>
    </row>
    <row r="91" spans="1:10" ht="27.75" customHeight="1" x14ac:dyDescent="0.2">
      <c r="A91" s="165" t="s">
        <v>557</v>
      </c>
      <c r="B91" s="26" t="s">
        <v>817</v>
      </c>
      <c r="C91" s="172" t="s">
        <v>674</v>
      </c>
      <c r="D91" s="138">
        <v>3.48</v>
      </c>
      <c r="E91" s="139">
        <v>0.371</v>
      </c>
      <c r="F91" s="140">
        <v>0</v>
      </c>
      <c r="G91" s="167">
        <v>0</v>
      </c>
      <c r="H91" s="168"/>
      <c r="I91" s="170"/>
      <c r="J91" s="43"/>
    </row>
    <row r="92" spans="1:10" ht="27.75" customHeight="1" x14ac:dyDescent="0.2">
      <c r="A92" s="165" t="s">
        <v>558</v>
      </c>
      <c r="B92" s="26" t="s">
        <v>818</v>
      </c>
      <c r="C92" s="172" t="s">
        <v>674</v>
      </c>
      <c r="D92" s="138">
        <v>3.17</v>
      </c>
      <c r="E92" s="139">
        <v>0.06</v>
      </c>
      <c r="F92" s="140">
        <v>0</v>
      </c>
      <c r="G92" s="167">
        <v>0</v>
      </c>
      <c r="H92" s="168"/>
      <c r="I92" s="170"/>
      <c r="J92" s="43"/>
    </row>
    <row r="93" spans="1:10" ht="27.75" customHeight="1" x14ac:dyDescent="0.2">
      <c r="A93" s="165" t="s">
        <v>559</v>
      </c>
      <c r="B93" s="26" t="s">
        <v>819</v>
      </c>
      <c r="C93" s="172" t="s">
        <v>674</v>
      </c>
      <c r="D93" s="138">
        <v>3.056</v>
      </c>
      <c r="E93" s="139">
        <v>0</v>
      </c>
      <c r="F93" s="140">
        <v>0</v>
      </c>
      <c r="G93" s="167">
        <v>0</v>
      </c>
      <c r="H93" s="168"/>
      <c r="I93" s="170"/>
      <c r="J93" s="43"/>
    </row>
    <row r="94" spans="1:10" ht="27.75" customHeight="1" x14ac:dyDescent="0.2">
      <c r="A94" s="165" t="s">
        <v>560</v>
      </c>
      <c r="B94" s="26" t="s">
        <v>820</v>
      </c>
      <c r="C94" s="172" t="s">
        <v>674</v>
      </c>
      <c r="D94" s="138">
        <v>2.9089999999999998</v>
      </c>
      <c r="E94" s="139">
        <v>0</v>
      </c>
      <c r="F94" s="140">
        <v>0</v>
      </c>
      <c r="G94" s="167">
        <v>0</v>
      </c>
      <c r="H94" s="168"/>
      <c r="I94" s="170"/>
      <c r="J94" s="43"/>
    </row>
    <row r="95" spans="1:10" ht="27.75" customHeight="1" x14ac:dyDescent="0.2">
      <c r="A95" s="165" t="s">
        <v>696</v>
      </c>
      <c r="B95" s="26" t="s">
        <v>821</v>
      </c>
      <c r="C95" s="172">
        <v>4</v>
      </c>
      <c r="D95" s="138">
        <v>3.524</v>
      </c>
      <c r="E95" s="139">
        <v>0.41499999999999998</v>
      </c>
      <c r="F95" s="140">
        <v>3.1E-2</v>
      </c>
      <c r="G95" s="168"/>
      <c r="H95" s="168"/>
      <c r="I95" s="170"/>
      <c r="J95" s="43"/>
    </row>
    <row r="96" spans="1:10" ht="27.75" customHeight="1" x14ac:dyDescent="0.2">
      <c r="A96" s="165" t="s">
        <v>484</v>
      </c>
      <c r="B96" s="26" t="s">
        <v>822</v>
      </c>
      <c r="C96" s="172">
        <v>0</v>
      </c>
      <c r="D96" s="138">
        <v>2.8010000000000002</v>
      </c>
      <c r="E96" s="139">
        <v>0.33800000000000002</v>
      </c>
      <c r="F96" s="140">
        <v>2.3E-2</v>
      </c>
      <c r="G96" s="167">
        <v>5.32</v>
      </c>
      <c r="H96" s="167">
        <v>3.03</v>
      </c>
      <c r="I96" s="171">
        <v>3.03</v>
      </c>
      <c r="J96" s="42">
        <v>0.215</v>
      </c>
    </row>
    <row r="97" spans="1:10" ht="27.75" customHeight="1" x14ac:dyDescent="0.2">
      <c r="A97" s="165" t="s">
        <v>485</v>
      </c>
      <c r="B97" s="26" t="s">
        <v>823</v>
      </c>
      <c r="C97" s="172">
        <v>0</v>
      </c>
      <c r="D97" s="138">
        <v>1.792</v>
      </c>
      <c r="E97" s="139">
        <v>0.11799999999999999</v>
      </c>
      <c r="F97" s="140">
        <v>1.0999999999999999E-2</v>
      </c>
      <c r="G97" s="167">
        <v>0.84</v>
      </c>
      <c r="H97" s="167">
        <v>3.03</v>
      </c>
      <c r="I97" s="171">
        <v>3.03</v>
      </c>
      <c r="J97" s="42">
        <v>0.215</v>
      </c>
    </row>
    <row r="98" spans="1:10" ht="27.75" customHeight="1" x14ac:dyDescent="0.2">
      <c r="A98" s="165" t="s">
        <v>486</v>
      </c>
      <c r="B98" s="26" t="s">
        <v>824</v>
      </c>
      <c r="C98" s="172">
        <v>0</v>
      </c>
      <c r="D98" s="138">
        <v>1.768</v>
      </c>
      <c r="E98" s="139">
        <v>0.11799999999999999</v>
      </c>
      <c r="F98" s="140">
        <v>1.0999999999999999E-2</v>
      </c>
      <c r="G98" s="167">
        <v>0.84</v>
      </c>
      <c r="H98" s="167">
        <v>3.03</v>
      </c>
      <c r="I98" s="171">
        <v>3.03</v>
      </c>
      <c r="J98" s="42">
        <v>0.215</v>
      </c>
    </row>
    <row r="99" spans="1:10" ht="27.75" customHeight="1" x14ac:dyDescent="0.2">
      <c r="A99" s="165" t="s">
        <v>487</v>
      </c>
      <c r="B99" s="26" t="s">
        <v>825</v>
      </c>
      <c r="C99" s="172">
        <v>0</v>
      </c>
      <c r="D99" s="138">
        <v>1.7470000000000001</v>
      </c>
      <c r="E99" s="139">
        <v>0.11799999999999999</v>
      </c>
      <c r="F99" s="140">
        <v>1.0999999999999999E-2</v>
      </c>
      <c r="G99" s="167">
        <v>0.84</v>
      </c>
      <c r="H99" s="167">
        <v>3.03</v>
      </c>
      <c r="I99" s="171">
        <v>3.03</v>
      </c>
      <c r="J99" s="42">
        <v>0.215</v>
      </c>
    </row>
    <row r="100" spans="1:10" ht="27.75" customHeight="1" x14ac:dyDescent="0.2">
      <c r="A100" s="165" t="s">
        <v>488</v>
      </c>
      <c r="B100" s="26" t="s">
        <v>826</v>
      </c>
      <c r="C100" s="172">
        <v>0</v>
      </c>
      <c r="D100" s="138">
        <v>1.72</v>
      </c>
      <c r="E100" s="139">
        <v>0.11799999999999999</v>
      </c>
      <c r="F100" s="140">
        <v>1.0999999999999999E-2</v>
      </c>
      <c r="G100" s="167">
        <v>0.84</v>
      </c>
      <c r="H100" s="167">
        <v>3.03</v>
      </c>
      <c r="I100" s="171">
        <v>3.03</v>
      </c>
      <c r="J100" s="42">
        <v>0.215</v>
      </c>
    </row>
    <row r="101" spans="1:10" ht="27.75" customHeight="1" x14ac:dyDescent="0.2">
      <c r="A101" s="165" t="s">
        <v>489</v>
      </c>
      <c r="B101" s="26" t="s">
        <v>827</v>
      </c>
      <c r="C101" s="172">
        <v>0</v>
      </c>
      <c r="D101" s="138">
        <v>2.4900000000000002</v>
      </c>
      <c r="E101" s="139">
        <v>0.318</v>
      </c>
      <c r="F101" s="140">
        <v>1.7000000000000001E-2</v>
      </c>
      <c r="G101" s="167">
        <v>6.48</v>
      </c>
      <c r="H101" s="167">
        <v>5.51</v>
      </c>
      <c r="I101" s="171">
        <v>5.51</v>
      </c>
      <c r="J101" s="42">
        <v>0.185</v>
      </c>
    </row>
    <row r="102" spans="1:10" ht="27.75" customHeight="1" x14ac:dyDescent="0.2">
      <c r="A102" s="165" t="s">
        <v>490</v>
      </c>
      <c r="B102" s="26" t="s">
        <v>828</v>
      </c>
      <c r="C102" s="172">
        <v>0</v>
      </c>
      <c r="D102" s="138">
        <v>1.0289999999999999</v>
      </c>
      <c r="E102" s="139">
        <v>0</v>
      </c>
      <c r="F102" s="140">
        <v>0</v>
      </c>
      <c r="G102" s="167">
        <v>0</v>
      </c>
      <c r="H102" s="167">
        <v>5.51</v>
      </c>
      <c r="I102" s="171">
        <v>5.51</v>
      </c>
      <c r="J102" s="42">
        <v>0.185</v>
      </c>
    </row>
    <row r="103" spans="1:10" ht="27.75" customHeight="1" x14ac:dyDescent="0.2">
      <c r="A103" s="165" t="s">
        <v>491</v>
      </c>
      <c r="B103" s="26" t="s">
        <v>829</v>
      </c>
      <c r="C103" s="172">
        <v>0</v>
      </c>
      <c r="D103" s="138">
        <v>0.99399999999999999</v>
      </c>
      <c r="E103" s="139">
        <v>0</v>
      </c>
      <c r="F103" s="140">
        <v>0</v>
      </c>
      <c r="G103" s="167">
        <v>0</v>
      </c>
      <c r="H103" s="167">
        <v>5.51</v>
      </c>
      <c r="I103" s="171">
        <v>5.51</v>
      </c>
      <c r="J103" s="42">
        <v>0.185</v>
      </c>
    </row>
    <row r="104" spans="1:10" ht="27.75" customHeight="1" x14ac:dyDescent="0.2">
      <c r="A104" s="165" t="s">
        <v>492</v>
      </c>
      <c r="B104" s="26" t="s">
        <v>830</v>
      </c>
      <c r="C104" s="172">
        <v>0</v>
      </c>
      <c r="D104" s="138">
        <v>0.96399999999999997</v>
      </c>
      <c r="E104" s="139">
        <v>0</v>
      </c>
      <c r="F104" s="140">
        <v>0</v>
      </c>
      <c r="G104" s="167">
        <v>0</v>
      </c>
      <c r="H104" s="167">
        <v>5.51</v>
      </c>
      <c r="I104" s="171">
        <v>5.51</v>
      </c>
      <c r="J104" s="42">
        <v>0.185</v>
      </c>
    </row>
    <row r="105" spans="1:10" ht="27.75" customHeight="1" x14ac:dyDescent="0.2">
      <c r="A105" s="165" t="s">
        <v>493</v>
      </c>
      <c r="B105" s="26" t="s">
        <v>831</v>
      </c>
      <c r="C105" s="172">
        <v>0</v>
      </c>
      <c r="D105" s="138">
        <v>0.92500000000000004</v>
      </c>
      <c r="E105" s="139">
        <v>0</v>
      </c>
      <c r="F105" s="140">
        <v>0</v>
      </c>
      <c r="G105" s="167">
        <v>0</v>
      </c>
      <c r="H105" s="167">
        <v>5.51</v>
      </c>
      <c r="I105" s="171">
        <v>5.51</v>
      </c>
      <c r="J105" s="42">
        <v>0.185</v>
      </c>
    </row>
    <row r="106" spans="1:10" ht="27.75" customHeight="1" x14ac:dyDescent="0.2">
      <c r="A106" s="165" t="s">
        <v>494</v>
      </c>
      <c r="B106" s="26" t="s">
        <v>832</v>
      </c>
      <c r="C106" s="172">
        <v>0</v>
      </c>
      <c r="D106" s="138">
        <v>2.048</v>
      </c>
      <c r="E106" s="139">
        <v>0.26200000000000001</v>
      </c>
      <c r="F106" s="140">
        <v>1.4999999999999999E-2</v>
      </c>
      <c r="G106" s="167">
        <v>76</v>
      </c>
      <c r="H106" s="167">
        <v>6.25</v>
      </c>
      <c r="I106" s="171">
        <v>6.25</v>
      </c>
      <c r="J106" s="42">
        <v>0.159</v>
      </c>
    </row>
    <row r="107" spans="1:10" ht="27.75" customHeight="1" x14ac:dyDescent="0.2">
      <c r="A107" s="165" t="s">
        <v>495</v>
      </c>
      <c r="B107" s="26" t="s">
        <v>833</v>
      </c>
      <c r="C107" s="172">
        <v>0</v>
      </c>
      <c r="D107" s="138">
        <v>0.247</v>
      </c>
      <c r="E107" s="139">
        <v>0</v>
      </c>
      <c r="F107" s="140">
        <v>0</v>
      </c>
      <c r="G107" s="167">
        <v>0</v>
      </c>
      <c r="H107" s="167">
        <v>6.25</v>
      </c>
      <c r="I107" s="171">
        <v>6.25</v>
      </c>
      <c r="J107" s="42">
        <v>0.159</v>
      </c>
    </row>
    <row r="108" spans="1:10" ht="27.75" customHeight="1" x14ac:dyDescent="0.2">
      <c r="A108" s="165" t="s">
        <v>496</v>
      </c>
      <c r="B108" s="26" t="s">
        <v>834</v>
      </c>
      <c r="C108" s="172">
        <v>0</v>
      </c>
      <c r="D108" s="138">
        <v>0.13100000000000001</v>
      </c>
      <c r="E108" s="139">
        <v>0</v>
      </c>
      <c r="F108" s="140">
        <v>0</v>
      </c>
      <c r="G108" s="167">
        <v>0</v>
      </c>
      <c r="H108" s="167">
        <v>6.25</v>
      </c>
      <c r="I108" s="171">
        <v>6.25</v>
      </c>
      <c r="J108" s="42">
        <v>0.159</v>
      </c>
    </row>
    <row r="109" spans="1:10" ht="27.75" customHeight="1" x14ac:dyDescent="0.2">
      <c r="A109" s="165" t="s">
        <v>497</v>
      </c>
      <c r="B109" s="26" t="s">
        <v>835</v>
      </c>
      <c r="C109" s="172">
        <v>0</v>
      </c>
      <c r="D109" s="138">
        <v>0.17899999999999999</v>
      </c>
      <c r="E109" s="139">
        <v>0</v>
      </c>
      <c r="F109" s="140">
        <v>0</v>
      </c>
      <c r="G109" s="167">
        <v>0</v>
      </c>
      <c r="H109" s="167">
        <v>6.25</v>
      </c>
      <c r="I109" s="171">
        <v>6.25</v>
      </c>
      <c r="J109" s="42">
        <v>0.159</v>
      </c>
    </row>
    <row r="110" spans="1:10" ht="27.75" customHeight="1" x14ac:dyDescent="0.2">
      <c r="A110" s="165" t="s">
        <v>498</v>
      </c>
      <c r="B110" s="26" t="s">
        <v>836</v>
      </c>
      <c r="C110" s="172">
        <v>0</v>
      </c>
      <c r="D110" s="138">
        <v>0.14099999999999999</v>
      </c>
      <c r="E110" s="139">
        <v>0</v>
      </c>
      <c r="F110" s="140">
        <v>0</v>
      </c>
      <c r="G110" s="167">
        <v>0</v>
      </c>
      <c r="H110" s="167">
        <v>6.25</v>
      </c>
      <c r="I110" s="171">
        <v>6.25</v>
      </c>
      <c r="J110" s="42">
        <v>0.159</v>
      </c>
    </row>
    <row r="111" spans="1:10" ht="27.75" customHeight="1" x14ac:dyDescent="0.2">
      <c r="A111" s="165" t="s">
        <v>697</v>
      </c>
      <c r="B111" s="26" t="s">
        <v>837</v>
      </c>
      <c r="C111" s="172" t="s">
        <v>680</v>
      </c>
      <c r="D111" s="141">
        <v>15.025</v>
      </c>
      <c r="E111" s="142">
        <v>1.2270000000000001</v>
      </c>
      <c r="F111" s="140">
        <v>0.17299999999999999</v>
      </c>
      <c r="G111" s="168"/>
      <c r="H111" s="168"/>
      <c r="I111" s="170"/>
      <c r="J111" s="43"/>
    </row>
    <row r="112" spans="1:10" ht="27.75" customHeight="1" x14ac:dyDescent="0.2">
      <c r="A112" s="165" t="s">
        <v>698</v>
      </c>
      <c r="B112" s="26" t="s">
        <v>838</v>
      </c>
      <c r="C112" s="172" t="s">
        <v>682</v>
      </c>
      <c r="D112" s="138">
        <v>-4.1559999999999997</v>
      </c>
      <c r="E112" s="139">
        <v>-0.48899999999999999</v>
      </c>
      <c r="F112" s="140">
        <v>-3.5999999999999997E-2</v>
      </c>
      <c r="G112" s="167">
        <v>0</v>
      </c>
      <c r="H112" s="168"/>
      <c r="I112" s="170"/>
      <c r="J112" s="43"/>
    </row>
    <row r="113" spans="1:10" ht="27.75" customHeight="1" x14ac:dyDescent="0.2">
      <c r="A113" s="165" t="s">
        <v>699</v>
      </c>
      <c r="B113" s="26" t="s">
        <v>839</v>
      </c>
      <c r="C113" s="172">
        <v>0</v>
      </c>
      <c r="D113" s="138">
        <v>-3.778</v>
      </c>
      <c r="E113" s="139">
        <v>-0.45100000000000001</v>
      </c>
      <c r="F113" s="140">
        <v>-3.2000000000000001E-2</v>
      </c>
      <c r="G113" s="167">
        <v>0</v>
      </c>
      <c r="H113" s="168"/>
      <c r="I113" s="170"/>
      <c r="J113" s="43"/>
    </row>
    <row r="114" spans="1:10" ht="27.75" customHeight="1" x14ac:dyDescent="0.2">
      <c r="A114" s="165" t="s">
        <v>700</v>
      </c>
      <c r="B114" s="26" t="s">
        <v>840</v>
      </c>
      <c r="C114" s="172">
        <v>0</v>
      </c>
      <c r="D114" s="138">
        <v>-4.1559999999999997</v>
      </c>
      <c r="E114" s="139">
        <v>-0.48899999999999999</v>
      </c>
      <c r="F114" s="140">
        <v>-3.5999999999999997E-2</v>
      </c>
      <c r="G114" s="167">
        <v>0</v>
      </c>
      <c r="H114" s="168"/>
      <c r="I114" s="170"/>
      <c r="J114" s="42">
        <v>0.29199999999999998</v>
      </c>
    </row>
    <row r="115" spans="1:10" ht="27.75" customHeight="1" x14ac:dyDescent="0.2">
      <c r="A115" s="165" t="s">
        <v>701</v>
      </c>
      <c r="B115" s="26" t="s">
        <v>841</v>
      </c>
      <c r="C115" s="172">
        <v>0</v>
      </c>
      <c r="D115" s="138">
        <v>-3.778</v>
      </c>
      <c r="E115" s="139">
        <v>-0.45100000000000001</v>
      </c>
      <c r="F115" s="140">
        <v>-3.2000000000000001E-2</v>
      </c>
      <c r="G115" s="167">
        <v>0</v>
      </c>
      <c r="H115" s="168"/>
      <c r="I115" s="170"/>
      <c r="J115" s="42">
        <v>0.254</v>
      </c>
    </row>
    <row r="116" spans="1:10" ht="27.75" customHeight="1" x14ac:dyDescent="0.2">
      <c r="A116" s="165" t="s">
        <v>702</v>
      </c>
      <c r="B116" s="26" t="s">
        <v>842</v>
      </c>
      <c r="C116" s="172">
        <v>0</v>
      </c>
      <c r="D116" s="138">
        <v>-3.2080000000000002</v>
      </c>
      <c r="E116" s="139">
        <v>-0.41</v>
      </c>
      <c r="F116" s="140">
        <v>-2.1999999999999999E-2</v>
      </c>
      <c r="G116" s="167">
        <v>6.97</v>
      </c>
      <c r="H116" s="168"/>
      <c r="I116" s="170"/>
      <c r="J116" s="42">
        <v>0.29299999999999998</v>
      </c>
    </row>
    <row r="117" spans="1:10" ht="27.75" customHeight="1" x14ac:dyDescent="0.2">
      <c r="A117" s="165" t="s">
        <v>561</v>
      </c>
      <c r="B117" s="26" t="s">
        <v>843</v>
      </c>
      <c r="C117" s="172" t="s">
        <v>673</v>
      </c>
      <c r="D117" s="138">
        <v>2.7749999999999999</v>
      </c>
      <c r="E117" s="139">
        <v>0.28299999999999997</v>
      </c>
      <c r="F117" s="140">
        <v>0</v>
      </c>
      <c r="G117" s="167">
        <v>0</v>
      </c>
      <c r="H117" s="168"/>
      <c r="I117" s="170"/>
      <c r="J117" s="43"/>
    </row>
    <row r="118" spans="1:10" ht="27.75" customHeight="1" x14ac:dyDescent="0.2">
      <c r="A118" s="165" t="s">
        <v>703</v>
      </c>
      <c r="B118" s="26" t="s">
        <v>844</v>
      </c>
      <c r="C118" s="172">
        <v>2</v>
      </c>
      <c r="D118" s="138">
        <v>2.8250000000000002</v>
      </c>
      <c r="E118" s="139">
        <v>0.33200000000000002</v>
      </c>
      <c r="F118" s="140">
        <v>2.5000000000000001E-2</v>
      </c>
      <c r="G118" s="168"/>
      <c r="H118" s="168"/>
      <c r="I118" s="170"/>
      <c r="J118" s="43"/>
    </row>
    <row r="119" spans="1:10" ht="27.75" customHeight="1" x14ac:dyDescent="0.2">
      <c r="A119" s="165" t="s">
        <v>562</v>
      </c>
      <c r="B119" s="26" t="s">
        <v>845</v>
      </c>
      <c r="C119" s="172" t="s">
        <v>674</v>
      </c>
      <c r="D119" s="138">
        <v>2.1869999999999998</v>
      </c>
      <c r="E119" s="139">
        <v>0.25700000000000001</v>
      </c>
      <c r="F119" s="140">
        <v>1.9E-2</v>
      </c>
      <c r="G119" s="167">
        <v>1.34</v>
      </c>
      <c r="H119" s="168"/>
      <c r="I119" s="170"/>
      <c r="J119" s="43"/>
    </row>
    <row r="120" spans="1:10" ht="27.75" customHeight="1" x14ac:dyDescent="0.2">
      <c r="A120" s="165" t="s">
        <v>563</v>
      </c>
      <c r="B120" s="26" t="s">
        <v>846</v>
      </c>
      <c r="C120" s="172" t="s">
        <v>674</v>
      </c>
      <c r="D120" s="138">
        <v>2.1589999999999998</v>
      </c>
      <c r="E120" s="139">
        <v>0.23</v>
      </c>
      <c r="F120" s="140">
        <v>0</v>
      </c>
      <c r="G120" s="167">
        <v>0</v>
      </c>
      <c r="H120" s="168"/>
      <c r="I120" s="170"/>
      <c r="J120" s="43"/>
    </row>
    <row r="121" spans="1:10" ht="27.75" customHeight="1" x14ac:dyDescent="0.2">
      <c r="A121" s="165" t="s">
        <v>564</v>
      </c>
      <c r="B121" s="26" t="s">
        <v>847</v>
      </c>
      <c r="C121" s="172" t="s">
        <v>674</v>
      </c>
      <c r="D121" s="138">
        <v>1.9670000000000001</v>
      </c>
      <c r="E121" s="139">
        <v>3.6999999999999998E-2</v>
      </c>
      <c r="F121" s="140">
        <v>0</v>
      </c>
      <c r="G121" s="167">
        <v>0</v>
      </c>
      <c r="H121" s="168"/>
      <c r="I121" s="170"/>
      <c r="J121" s="43"/>
    </row>
    <row r="122" spans="1:10" ht="27.75" customHeight="1" x14ac:dyDescent="0.2">
      <c r="A122" s="165" t="s">
        <v>565</v>
      </c>
      <c r="B122" s="26" t="s">
        <v>848</v>
      </c>
      <c r="C122" s="172" t="s">
        <v>674</v>
      </c>
      <c r="D122" s="138">
        <v>1.8959999999999999</v>
      </c>
      <c r="E122" s="139">
        <v>0</v>
      </c>
      <c r="F122" s="140">
        <v>0</v>
      </c>
      <c r="G122" s="167">
        <v>0</v>
      </c>
      <c r="H122" s="168"/>
      <c r="I122" s="170"/>
      <c r="J122" s="43"/>
    </row>
    <row r="123" spans="1:10" ht="27.75" customHeight="1" x14ac:dyDescent="0.2">
      <c r="A123" s="165" t="s">
        <v>566</v>
      </c>
      <c r="B123" s="26" t="s">
        <v>849</v>
      </c>
      <c r="C123" s="172" t="s">
        <v>674</v>
      </c>
      <c r="D123" s="138">
        <v>1.8049999999999999</v>
      </c>
      <c r="E123" s="139">
        <v>0</v>
      </c>
      <c r="F123" s="140">
        <v>0</v>
      </c>
      <c r="G123" s="167">
        <v>0</v>
      </c>
      <c r="H123" s="168"/>
      <c r="I123" s="170"/>
      <c r="J123" s="43"/>
    </row>
    <row r="124" spans="1:10" ht="27.75" customHeight="1" x14ac:dyDescent="0.2">
      <c r="A124" s="165" t="s">
        <v>704</v>
      </c>
      <c r="B124" s="26" t="s">
        <v>850</v>
      </c>
      <c r="C124" s="172">
        <v>4</v>
      </c>
      <c r="D124" s="138">
        <v>2.1869999999999998</v>
      </c>
      <c r="E124" s="139">
        <v>0.25700000000000001</v>
      </c>
      <c r="F124" s="140">
        <v>1.9E-2</v>
      </c>
      <c r="G124" s="168"/>
      <c r="H124" s="168"/>
      <c r="I124" s="170"/>
      <c r="J124" s="43"/>
    </row>
    <row r="125" spans="1:10" ht="27.75" customHeight="1" x14ac:dyDescent="0.2">
      <c r="A125" s="165" t="s">
        <v>469</v>
      </c>
      <c r="B125" s="26" t="s">
        <v>851</v>
      </c>
      <c r="C125" s="172">
        <v>0</v>
      </c>
      <c r="D125" s="138">
        <v>1.738</v>
      </c>
      <c r="E125" s="139">
        <v>0.21</v>
      </c>
      <c r="F125" s="140">
        <v>1.4E-2</v>
      </c>
      <c r="G125" s="167">
        <v>3.3</v>
      </c>
      <c r="H125" s="167">
        <v>1.88</v>
      </c>
      <c r="I125" s="171">
        <v>1.88</v>
      </c>
      <c r="J125" s="42">
        <v>0.13400000000000001</v>
      </c>
    </row>
    <row r="126" spans="1:10" ht="27.75" customHeight="1" x14ac:dyDescent="0.2">
      <c r="A126" s="165" t="s">
        <v>470</v>
      </c>
      <c r="B126" s="26" t="s">
        <v>852</v>
      </c>
      <c r="C126" s="172">
        <v>0</v>
      </c>
      <c r="D126" s="138">
        <v>1.1120000000000001</v>
      </c>
      <c r="E126" s="139">
        <v>7.2999999999999995E-2</v>
      </c>
      <c r="F126" s="140">
        <v>7.0000000000000001E-3</v>
      </c>
      <c r="G126" s="167">
        <v>0.52</v>
      </c>
      <c r="H126" s="167">
        <v>1.88</v>
      </c>
      <c r="I126" s="171">
        <v>1.88</v>
      </c>
      <c r="J126" s="42">
        <v>0.13400000000000001</v>
      </c>
    </row>
    <row r="127" spans="1:10" ht="27.75" customHeight="1" x14ac:dyDescent="0.2">
      <c r="A127" s="165" t="s">
        <v>471</v>
      </c>
      <c r="B127" s="26" t="s">
        <v>853</v>
      </c>
      <c r="C127" s="172">
        <v>0</v>
      </c>
      <c r="D127" s="138">
        <v>1.097</v>
      </c>
      <c r="E127" s="139">
        <v>7.2999999999999995E-2</v>
      </c>
      <c r="F127" s="140">
        <v>7.0000000000000001E-3</v>
      </c>
      <c r="G127" s="167">
        <v>0.52</v>
      </c>
      <c r="H127" s="167">
        <v>1.88</v>
      </c>
      <c r="I127" s="171">
        <v>1.88</v>
      </c>
      <c r="J127" s="42">
        <v>0.13400000000000001</v>
      </c>
    </row>
    <row r="128" spans="1:10" ht="27.75" customHeight="1" x14ac:dyDescent="0.2">
      <c r="A128" s="165" t="s">
        <v>472</v>
      </c>
      <c r="B128" s="26" t="s">
        <v>854</v>
      </c>
      <c r="C128" s="172">
        <v>0</v>
      </c>
      <c r="D128" s="138">
        <v>1.0840000000000001</v>
      </c>
      <c r="E128" s="139">
        <v>7.2999999999999995E-2</v>
      </c>
      <c r="F128" s="140">
        <v>7.0000000000000001E-3</v>
      </c>
      <c r="G128" s="167">
        <v>0.52</v>
      </c>
      <c r="H128" s="167">
        <v>1.88</v>
      </c>
      <c r="I128" s="171">
        <v>1.88</v>
      </c>
      <c r="J128" s="42">
        <v>0.13400000000000001</v>
      </c>
    </row>
    <row r="129" spans="1:10" ht="27.75" customHeight="1" x14ac:dyDescent="0.2">
      <c r="A129" s="165" t="s">
        <v>473</v>
      </c>
      <c r="B129" s="26" t="s">
        <v>855</v>
      </c>
      <c r="C129" s="172">
        <v>0</v>
      </c>
      <c r="D129" s="138">
        <v>1.0680000000000001</v>
      </c>
      <c r="E129" s="139">
        <v>7.2999999999999995E-2</v>
      </c>
      <c r="F129" s="140">
        <v>7.0000000000000001E-3</v>
      </c>
      <c r="G129" s="167">
        <v>0.52</v>
      </c>
      <c r="H129" s="167">
        <v>1.88</v>
      </c>
      <c r="I129" s="171">
        <v>1.88</v>
      </c>
      <c r="J129" s="42">
        <v>0.13400000000000001</v>
      </c>
    </row>
    <row r="130" spans="1:10" ht="27.75" customHeight="1" x14ac:dyDescent="0.2">
      <c r="A130" s="165" t="s">
        <v>474</v>
      </c>
      <c r="B130" s="26" t="s">
        <v>856</v>
      </c>
      <c r="C130" s="172">
        <v>0</v>
      </c>
      <c r="D130" s="138">
        <v>1.5449999999999999</v>
      </c>
      <c r="E130" s="139">
        <v>0.19700000000000001</v>
      </c>
      <c r="F130" s="140">
        <v>1.0999999999999999E-2</v>
      </c>
      <c r="G130" s="167">
        <v>4.0199999999999996</v>
      </c>
      <c r="H130" s="167">
        <v>3.42</v>
      </c>
      <c r="I130" s="171">
        <v>3.42</v>
      </c>
      <c r="J130" s="42">
        <v>0.115</v>
      </c>
    </row>
    <row r="131" spans="1:10" ht="27.75" customHeight="1" x14ac:dyDescent="0.2">
      <c r="A131" s="165" t="s">
        <v>475</v>
      </c>
      <c r="B131" s="26" t="s">
        <v>857</v>
      </c>
      <c r="C131" s="172">
        <v>0</v>
      </c>
      <c r="D131" s="138">
        <v>0.63800000000000001</v>
      </c>
      <c r="E131" s="139">
        <v>0</v>
      </c>
      <c r="F131" s="140">
        <v>0</v>
      </c>
      <c r="G131" s="167">
        <v>0</v>
      </c>
      <c r="H131" s="167">
        <v>3.42</v>
      </c>
      <c r="I131" s="171">
        <v>3.42</v>
      </c>
      <c r="J131" s="42">
        <v>0.115</v>
      </c>
    </row>
    <row r="132" spans="1:10" ht="27.75" customHeight="1" x14ac:dyDescent="0.2">
      <c r="A132" s="165" t="s">
        <v>476</v>
      </c>
      <c r="B132" s="26" t="s">
        <v>858</v>
      </c>
      <c r="C132" s="172">
        <v>0</v>
      </c>
      <c r="D132" s="138">
        <v>0.61699999999999999</v>
      </c>
      <c r="E132" s="139">
        <v>0</v>
      </c>
      <c r="F132" s="140">
        <v>0</v>
      </c>
      <c r="G132" s="167">
        <v>0</v>
      </c>
      <c r="H132" s="167">
        <v>3.42</v>
      </c>
      <c r="I132" s="171">
        <v>3.42</v>
      </c>
      <c r="J132" s="42">
        <v>0.115</v>
      </c>
    </row>
    <row r="133" spans="1:10" ht="27.75" customHeight="1" x14ac:dyDescent="0.2">
      <c r="A133" s="165" t="s">
        <v>477</v>
      </c>
      <c r="B133" s="26" t="s">
        <v>859</v>
      </c>
      <c r="C133" s="172">
        <v>0</v>
      </c>
      <c r="D133" s="138">
        <v>0.59799999999999998</v>
      </c>
      <c r="E133" s="139">
        <v>0</v>
      </c>
      <c r="F133" s="140">
        <v>0</v>
      </c>
      <c r="G133" s="167">
        <v>0</v>
      </c>
      <c r="H133" s="167">
        <v>3.42</v>
      </c>
      <c r="I133" s="171">
        <v>3.42</v>
      </c>
      <c r="J133" s="42">
        <v>0.115</v>
      </c>
    </row>
    <row r="134" spans="1:10" ht="27.75" customHeight="1" x14ac:dyDescent="0.2">
      <c r="A134" s="165" t="s">
        <v>478</v>
      </c>
      <c r="B134" s="26" t="s">
        <v>860</v>
      </c>
      <c r="C134" s="172">
        <v>0</v>
      </c>
      <c r="D134" s="138">
        <v>0.57399999999999995</v>
      </c>
      <c r="E134" s="139">
        <v>0</v>
      </c>
      <c r="F134" s="140">
        <v>0</v>
      </c>
      <c r="G134" s="167">
        <v>0</v>
      </c>
      <c r="H134" s="167">
        <v>3.42</v>
      </c>
      <c r="I134" s="171">
        <v>3.42</v>
      </c>
      <c r="J134" s="42">
        <v>0.115</v>
      </c>
    </row>
    <row r="135" spans="1:10" ht="27.75" customHeight="1" x14ac:dyDescent="0.2">
      <c r="A135" s="165" t="s">
        <v>479</v>
      </c>
      <c r="B135" s="26" t="s">
        <v>861</v>
      </c>
      <c r="C135" s="172">
        <v>0</v>
      </c>
      <c r="D135" s="138">
        <v>1.2709999999999999</v>
      </c>
      <c r="E135" s="139">
        <v>0.16200000000000001</v>
      </c>
      <c r="F135" s="140">
        <v>8.9999999999999993E-3</v>
      </c>
      <c r="G135" s="167">
        <v>47.16</v>
      </c>
      <c r="H135" s="167">
        <v>3.88</v>
      </c>
      <c r="I135" s="171">
        <v>3.88</v>
      </c>
      <c r="J135" s="42">
        <v>9.9000000000000005E-2</v>
      </c>
    </row>
    <row r="136" spans="1:10" ht="27.75" customHeight="1" x14ac:dyDescent="0.2">
      <c r="A136" s="165" t="s">
        <v>480</v>
      </c>
      <c r="B136" s="26" t="s">
        <v>862</v>
      </c>
      <c r="C136" s="172">
        <v>0</v>
      </c>
      <c r="D136" s="138">
        <v>0.153</v>
      </c>
      <c r="E136" s="139">
        <v>0</v>
      </c>
      <c r="F136" s="140">
        <v>0</v>
      </c>
      <c r="G136" s="167">
        <v>0</v>
      </c>
      <c r="H136" s="167">
        <v>3.88</v>
      </c>
      <c r="I136" s="171">
        <v>3.88</v>
      </c>
      <c r="J136" s="42">
        <v>9.9000000000000005E-2</v>
      </c>
    </row>
    <row r="137" spans="1:10" ht="27.75" customHeight="1" x14ac:dyDescent="0.2">
      <c r="A137" s="165" t="s">
        <v>481</v>
      </c>
      <c r="B137" s="26" t="s">
        <v>863</v>
      </c>
      <c r="C137" s="172">
        <v>0</v>
      </c>
      <c r="D137" s="138">
        <v>8.1000000000000003E-2</v>
      </c>
      <c r="E137" s="139">
        <v>0</v>
      </c>
      <c r="F137" s="140">
        <v>0</v>
      </c>
      <c r="G137" s="167">
        <v>0</v>
      </c>
      <c r="H137" s="167">
        <v>3.88</v>
      </c>
      <c r="I137" s="171">
        <v>3.88</v>
      </c>
      <c r="J137" s="42">
        <v>9.9000000000000005E-2</v>
      </c>
    </row>
    <row r="138" spans="1:10" ht="27.75" customHeight="1" x14ac:dyDescent="0.2">
      <c r="A138" s="165" t="s">
        <v>482</v>
      </c>
      <c r="B138" s="26" t="s">
        <v>864</v>
      </c>
      <c r="C138" s="172">
        <v>0</v>
      </c>
      <c r="D138" s="138">
        <v>0.111</v>
      </c>
      <c r="E138" s="139">
        <v>0</v>
      </c>
      <c r="F138" s="140">
        <v>0</v>
      </c>
      <c r="G138" s="167">
        <v>0</v>
      </c>
      <c r="H138" s="167">
        <v>3.88</v>
      </c>
      <c r="I138" s="171">
        <v>3.88</v>
      </c>
      <c r="J138" s="42">
        <v>9.9000000000000005E-2</v>
      </c>
    </row>
    <row r="139" spans="1:10" ht="27.75" customHeight="1" x14ac:dyDescent="0.2">
      <c r="A139" s="165" t="s">
        <v>483</v>
      </c>
      <c r="B139" s="26" t="s">
        <v>865</v>
      </c>
      <c r="C139" s="172">
        <v>0</v>
      </c>
      <c r="D139" s="138">
        <v>8.6999999999999994E-2</v>
      </c>
      <c r="E139" s="139">
        <v>0</v>
      </c>
      <c r="F139" s="140">
        <v>0</v>
      </c>
      <c r="G139" s="167">
        <v>0</v>
      </c>
      <c r="H139" s="167">
        <v>3.88</v>
      </c>
      <c r="I139" s="171">
        <v>3.88</v>
      </c>
      <c r="J139" s="42">
        <v>9.9000000000000005E-2</v>
      </c>
    </row>
    <row r="140" spans="1:10" ht="27.75" customHeight="1" x14ac:dyDescent="0.2">
      <c r="A140" s="165" t="s">
        <v>705</v>
      </c>
      <c r="B140" s="26" t="s">
        <v>866</v>
      </c>
      <c r="C140" s="172" t="s">
        <v>680</v>
      </c>
      <c r="D140" s="141">
        <v>9.3230000000000004</v>
      </c>
      <c r="E140" s="142">
        <v>0.76100000000000001</v>
      </c>
      <c r="F140" s="140">
        <v>0.107</v>
      </c>
      <c r="G140" s="168"/>
      <c r="H140" s="168"/>
      <c r="I140" s="170"/>
      <c r="J140" s="43"/>
    </row>
    <row r="141" spans="1:10" ht="27.75" customHeight="1" x14ac:dyDescent="0.2">
      <c r="A141" s="165" t="s">
        <v>706</v>
      </c>
      <c r="B141" s="26" t="s">
        <v>867</v>
      </c>
      <c r="C141" s="172" t="s">
        <v>682</v>
      </c>
      <c r="D141" s="138">
        <v>-2.5790000000000002</v>
      </c>
      <c r="E141" s="139">
        <v>-0.30299999999999999</v>
      </c>
      <c r="F141" s="140">
        <v>-2.1999999999999999E-2</v>
      </c>
      <c r="G141" s="167">
        <v>0</v>
      </c>
      <c r="H141" s="168"/>
      <c r="I141" s="170"/>
      <c r="J141" s="43"/>
    </row>
    <row r="142" spans="1:10" ht="27.75" customHeight="1" x14ac:dyDescent="0.2">
      <c r="A142" s="165" t="s">
        <v>707</v>
      </c>
      <c r="B142" s="26" t="s">
        <v>868</v>
      </c>
      <c r="C142" s="172">
        <v>0</v>
      </c>
      <c r="D142" s="138">
        <v>-2.3439999999999999</v>
      </c>
      <c r="E142" s="139">
        <v>-0.28000000000000003</v>
      </c>
      <c r="F142" s="140">
        <v>-0.02</v>
      </c>
      <c r="G142" s="167">
        <v>0</v>
      </c>
      <c r="H142" s="168"/>
      <c r="I142" s="170"/>
      <c r="J142" s="43"/>
    </row>
    <row r="143" spans="1:10" ht="27.75" customHeight="1" x14ac:dyDescent="0.2">
      <c r="A143" s="165" t="s">
        <v>708</v>
      </c>
      <c r="B143" s="26" t="s">
        <v>869</v>
      </c>
      <c r="C143" s="172">
        <v>0</v>
      </c>
      <c r="D143" s="138">
        <v>-2.5790000000000002</v>
      </c>
      <c r="E143" s="139">
        <v>-0.30299999999999999</v>
      </c>
      <c r="F143" s="140">
        <v>-2.1999999999999999E-2</v>
      </c>
      <c r="G143" s="167">
        <v>0</v>
      </c>
      <c r="H143" s="168"/>
      <c r="I143" s="170"/>
      <c r="J143" s="42">
        <v>0.18099999999999999</v>
      </c>
    </row>
    <row r="144" spans="1:10" ht="27.75" customHeight="1" x14ac:dyDescent="0.2">
      <c r="A144" s="165" t="s">
        <v>709</v>
      </c>
      <c r="B144" s="26" t="s">
        <v>870</v>
      </c>
      <c r="C144" s="172">
        <v>0</v>
      </c>
      <c r="D144" s="138">
        <v>-2.3439999999999999</v>
      </c>
      <c r="E144" s="139">
        <v>-0.28000000000000003</v>
      </c>
      <c r="F144" s="140">
        <v>-0.02</v>
      </c>
      <c r="G144" s="167">
        <v>0</v>
      </c>
      <c r="H144" s="168"/>
      <c r="I144" s="170"/>
      <c r="J144" s="42">
        <v>0.158</v>
      </c>
    </row>
    <row r="145" spans="1:10" ht="27.75" customHeight="1" x14ac:dyDescent="0.2">
      <c r="A145" s="165" t="s">
        <v>710</v>
      </c>
      <c r="B145" s="26" t="s">
        <v>871</v>
      </c>
      <c r="C145" s="172">
        <v>0</v>
      </c>
      <c r="D145" s="138">
        <v>-1.9910000000000001</v>
      </c>
      <c r="E145" s="139">
        <v>-0.254</v>
      </c>
      <c r="F145" s="140">
        <v>-1.4E-2</v>
      </c>
      <c r="G145" s="167">
        <v>4.33</v>
      </c>
      <c r="H145" s="168"/>
      <c r="I145" s="170"/>
      <c r="J145" s="42">
        <v>0.182</v>
      </c>
    </row>
    <row r="146" spans="1:10" ht="27.75" customHeight="1" x14ac:dyDescent="0.2">
      <c r="A146" s="165" t="s">
        <v>567</v>
      </c>
      <c r="B146" s="26" t="s">
        <v>872</v>
      </c>
      <c r="C146" s="172" t="s">
        <v>673</v>
      </c>
      <c r="D146" s="138">
        <v>1.9550000000000001</v>
      </c>
      <c r="E146" s="139">
        <v>0.19900000000000001</v>
      </c>
      <c r="F146" s="140">
        <v>0</v>
      </c>
      <c r="G146" s="167">
        <v>0</v>
      </c>
      <c r="H146" s="168"/>
      <c r="I146" s="170"/>
      <c r="J146" s="43"/>
    </row>
    <row r="147" spans="1:10" ht="27.75" customHeight="1" x14ac:dyDescent="0.2">
      <c r="A147" s="165" t="s">
        <v>711</v>
      </c>
      <c r="B147" s="26" t="s">
        <v>873</v>
      </c>
      <c r="C147" s="172">
        <v>2</v>
      </c>
      <c r="D147" s="138">
        <v>1.99</v>
      </c>
      <c r="E147" s="139">
        <v>0.23400000000000001</v>
      </c>
      <c r="F147" s="140">
        <v>1.7000000000000001E-2</v>
      </c>
      <c r="G147" s="168"/>
      <c r="H147" s="168"/>
      <c r="I147" s="170"/>
      <c r="J147" s="43"/>
    </row>
    <row r="148" spans="1:10" ht="27.75" customHeight="1" x14ac:dyDescent="0.2">
      <c r="A148" s="165" t="s">
        <v>568</v>
      </c>
      <c r="B148" s="26" t="s">
        <v>874</v>
      </c>
      <c r="C148" s="172" t="s">
        <v>674</v>
      </c>
      <c r="D148" s="138">
        <v>1.54</v>
      </c>
      <c r="E148" s="139">
        <v>0.18099999999999999</v>
      </c>
      <c r="F148" s="140">
        <v>1.2999999999999999E-2</v>
      </c>
      <c r="G148" s="167">
        <v>0.95</v>
      </c>
      <c r="H148" s="168"/>
      <c r="I148" s="170"/>
      <c r="J148" s="43"/>
    </row>
    <row r="149" spans="1:10" ht="27.75" customHeight="1" x14ac:dyDescent="0.2">
      <c r="A149" s="165" t="s">
        <v>569</v>
      </c>
      <c r="B149" s="26" t="s">
        <v>875</v>
      </c>
      <c r="C149" s="172" t="s">
        <v>674</v>
      </c>
      <c r="D149" s="138">
        <v>1.5209999999999999</v>
      </c>
      <c r="E149" s="139">
        <v>0.16200000000000001</v>
      </c>
      <c r="F149" s="140">
        <v>0</v>
      </c>
      <c r="G149" s="167">
        <v>0</v>
      </c>
      <c r="H149" s="168"/>
      <c r="I149" s="170"/>
      <c r="J149" s="43"/>
    </row>
    <row r="150" spans="1:10" ht="27.75" customHeight="1" x14ac:dyDescent="0.2">
      <c r="A150" s="165" t="s">
        <v>570</v>
      </c>
      <c r="B150" s="26" t="s">
        <v>876</v>
      </c>
      <c r="C150" s="172" t="s">
        <v>674</v>
      </c>
      <c r="D150" s="138">
        <v>1.3859999999999999</v>
      </c>
      <c r="E150" s="139">
        <v>2.5999999999999999E-2</v>
      </c>
      <c r="F150" s="140">
        <v>0</v>
      </c>
      <c r="G150" s="167">
        <v>0</v>
      </c>
      <c r="H150" s="168"/>
      <c r="I150" s="170"/>
      <c r="J150" s="43"/>
    </row>
    <row r="151" spans="1:10" ht="27.75" customHeight="1" x14ac:dyDescent="0.2">
      <c r="A151" s="165" t="s">
        <v>571</v>
      </c>
      <c r="B151" s="26" t="s">
        <v>877</v>
      </c>
      <c r="C151" s="172" t="s">
        <v>674</v>
      </c>
      <c r="D151" s="138">
        <v>1.3360000000000001</v>
      </c>
      <c r="E151" s="139">
        <v>0</v>
      </c>
      <c r="F151" s="140">
        <v>0</v>
      </c>
      <c r="G151" s="167">
        <v>0</v>
      </c>
      <c r="H151" s="168"/>
      <c r="I151" s="170"/>
      <c r="J151" s="43"/>
    </row>
    <row r="152" spans="1:10" ht="27.75" customHeight="1" x14ac:dyDescent="0.2">
      <c r="A152" s="165" t="s">
        <v>572</v>
      </c>
      <c r="B152" s="26" t="s">
        <v>878</v>
      </c>
      <c r="C152" s="172" t="s">
        <v>674</v>
      </c>
      <c r="D152" s="138">
        <v>1.2709999999999999</v>
      </c>
      <c r="E152" s="139">
        <v>0</v>
      </c>
      <c r="F152" s="140">
        <v>0</v>
      </c>
      <c r="G152" s="167">
        <v>0</v>
      </c>
      <c r="H152" s="168"/>
      <c r="I152" s="170"/>
      <c r="J152" s="43"/>
    </row>
    <row r="153" spans="1:10" ht="27.75" customHeight="1" x14ac:dyDescent="0.2">
      <c r="A153" s="165" t="s">
        <v>712</v>
      </c>
      <c r="B153" s="26" t="s">
        <v>879</v>
      </c>
      <c r="C153" s="172">
        <v>4</v>
      </c>
      <c r="D153" s="138">
        <v>1.54</v>
      </c>
      <c r="E153" s="139">
        <v>0.18099999999999999</v>
      </c>
      <c r="F153" s="140">
        <v>1.2999999999999999E-2</v>
      </c>
      <c r="G153" s="168"/>
      <c r="H153" s="168"/>
      <c r="I153" s="170"/>
      <c r="J153" s="43"/>
    </row>
    <row r="154" spans="1:10" ht="27.75" customHeight="1" x14ac:dyDescent="0.2">
      <c r="A154" s="165" t="s">
        <v>454</v>
      </c>
      <c r="B154" s="26" t="s">
        <v>880</v>
      </c>
      <c r="C154" s="172">
        <v>0</v>
      </c>
      <c r="D154" s="138">
        <v>1.224</v>
      </c>
      <c r="E154" s="139">
        <v>0.14799999999999999</v>
      </c>
      <c r="F154" s="140">
        <v>0.01</v>
      </c>
      <c r="G154" s="167">
        <v>2.33</v>
      </c>
      <c r="H154" s="167">
        <v>1.32</v>
      </c>
      <c r="I154" s="171">
        <v>1.32</v>
      </c>
      <c r="J154" s="42">
        <v>9.4E-2</v>
      </c>
    </row>
    <row r="155" spans="1:10" ht="27.75" customHeight="1" x14ac:dyDescent="0.2">
      <c r="A155" s="165" t="s">
        <v>455</v>
      </c>
      <c r="B155" s="26" t="s">
        <v>881</v>
      </c>
      <c r="C155" s="172">
        <v>0</v>
      </c>
      <c r="D155" s="138">
        <v>0.78300000000000003</v>
      </c>
      <c r="E155" s="139">
        <v>5.1999999999999998E-2</v>
      </c>
      <c r="F155" s="140">
        <v>5.0000000000000001E-3</v>
      </c>
      <c r="G155" s="167">
        <v>0.37</v>
      </c>
      <c r="H155" s="167">
        <v>1.32</v>
      </c>
      <c r="I155" s="171">
        <v>1.32</v>
      </c>
      <c r="J155" s="42">
        <v>9.4E-2</v>
      </c>
    </row>
    <row r="156" spans="1:10" ht="27.75" customHeight="1" x14ac:dyDescent="0.2">
      <c r="A156" s="165" t="s">
        <v>456</v>
      </c>
      <c r="B156" s="26" t="s">
        <v>882</v>
      </c>
      <c r="C156" s="172">
        <v>0</v>
      </c>
      <c r="D156" s="138">
        <v>0.77300000000000002</v>
      </c>
      <c r="E156" s="139">
        <v>5.1999999999999998E-2</v>
      </c>
      <c r="F156" s="140">
        <v>5.0000000000000001E-3</v>
      </c>
      <c r="G156" s="167">
        <v>0.37</v>
      </c>
      <c r="H156" s="167">
        <v>1.32</v>
      </c>
      <c r="I156" s="171">
        <v>1.32</v>
      </c>
      <c r="J156" s="42">
        <v>9.4E-2</v>
      </c>
    </row>
    <row r="157" spans="1:10" ht="27.75" customHeight="1" x14ac:dyDescent="0.2">
      <c r="A157" s="165" t="s">
        <v>457</v>
      </c>
      <c r="B157" s="26" t="s">
        <v>883</v>
      </c>
      <c r="C157" s="172">
        <v>0</v>
      </c>
      <c r="D157" s="138">
        <v>0.76300000000000001</v>
      </c>
      <c r="E157" s="139">
        <v>5.1999999999999998E-2</v>
      </c>
      <c r="F157" s="140">
        <v>5.0000000000000001E-3</v>
      </c>
      <c r="G157" s="167">
        <v>0.37</v>
      </c>
      <c r="H157" s="167">
        <v>1.32</v>
      </c>
      <c r="I157" s="171">
        <v>1.32</v>
      </c>
      <c r="J157" s="42">
        <v>9.4E-2</v>
      </c>
    </row>
    <row r="158" spans="1:10" ht="27.75" customHeight="1" x14ac:dyDescent="0.2">
      <c r="A158" s="165" t="s">
        <v>458</v>
      </c>
      <c r="B158" s="26" t="s">
        <v>884</v>
      </c>
      <c r="C158" s="172">
        <v>0</v>
      </c>
      <c r="D158" s="138">
        <v>0.752</v>
      </c>
      <c r="E158" s="139">
        <v>5.1999999999999998E-2</v>
      </c>
      <c r="F158" s="140">
        <v>5.0000000000000001E-3</v>
      </c>
      <c r="G158" s="167">
        <v>0.37</v>
      </c>
      <c r="H158" s="167">
        <v>1.32</v>
      </c>
      <c r="I158" s="171">
        <v>1.32</v>
      </c>
      <c r="J158" s="42">
        <v>9.4E-2</v>
      </c>
    </row>
    <row r="159" spans="1:10" ht="27.75" customHeight="1" x14ac:dyDescent="0.2">
      <c r="A159" s="165" t="s">
        <v>459</v>
      </c>
      <c r="B159" s="26" t="s">
        <v>885</v>
      </c>
      <c r="C159" s="172">
        <v>0</v>
      </c>
      <c r="D159" s="138">
        <v>1.0880000000000001</v>
      </c>
      <c r="E159" s="139">
        <v>0.13900000000000001</v>
      </c>
      <c r="F159" s="140">
        <v>8.0000000000000002E-3</v>
      </c>
      <c r="G159" s="167">
        <v>2.83</v>
      </c>
      <c r="H159" s="167">
        <v>2.41</v>
      </c>
      <c r="I159" s="171">
        <v>2.41</v>
      </c>
      <c r="J159" s="42">
        <v>8.1000000000000003E-2</v>
      </c>
    </row>
    <row r="160" spans="1:10" ht="27.75" customHeight="1" x14ac:dyDescent="0.2">
      <c r="A160" s="165" t="s">
        <v>460</v>
      </c>
      <c r="B160" s="26" t="s">
        <v>886</v>
      </c>
      <c r="C160" s="172">
        <v>0</v>
      </c>
      <c r="D160" s="138">
        <v>0.45</v>
      </c>
      <c r="E160" s="139">
        <v>0</v>
      </c>
      <c r="F160" s="140">
        <v>0</v>
      </c>
      <c r="G160" s="167">
        <v>0</v>
      </c>
      <c r="H160" s="167">
        <v>2.41</v>
      </c>
      <c r="I160" s="171">
        <v>2.41</v>
      </c>
      <c r="J160" s="42">
        <v>8.1000000000000003E-2</v>
      </c>
    </row>
    <row r="161" spans="1:10" ht="27.75" customHeight="1" x14ac:dyDescent="0.2">
      <c r="A161" s="165" t="s">
        <v>461</v>
      </c>
      <c r="B161" s="26" t="s">
        <v>887</v>
      </c>
      <c r="C161" s="172">
        <v>0</v>
      </c>
      <c r="D161" s="138">
        <v>0.435</v>
      </c>
      <c r="E161" s="139">
        <v>0</v>
      </c>
      <c r="F161" s="140">
        <v>0</v>
      </c>
      <c r="G161" s="167">
        <v>0</v>
      </c>
      <c r="H161" s="167">
        <v>2.41</v>
      </c>
      <c r="I161" s="171">
        <v>2.41</v>
      </c>
      <c r="J161" s="42">
        <v>8.1000000000000003E-2</v>
      </c>
    </row>
    <row r="162" spans="1:10" ht="27.75" customHeight="1" x14ac:dyDescent="0.2">
      <c r="A162" s="165" t="s">
        <v>462</v>
      </c>
      <c r="B162" s="26" t="s">
        <v>888</v>
      </c>
      <c r="C162" s="172">
        <v>0</v>
      </c>
      <c r="D162" s="138">
        <v>0.42099999999999999</v>
      </c>
      <c r="E162" s="139">
        <v>0</v>
      </c>
      <c r="F162" s="140">
        <v>0</v>
      </c>
      <c r="G162" s="167">
        <v>0</v>
      </c>
      <c r="H162" s="167">
        <v>2.41</v>
      </c>
      <c r="I162" s="171">
        <v>2.41</v>
      </c>
      <c r="J162" s="42">
        <v>8.1000000000000003E-2</v>
      </c>
    </row>
    <row r="163" spans="1:10" ht="27.75" customHeight="1" x14ac:dyDescent="0.2">
      <c r="A163" s="165" t="s">
        <v>463</v>
      </c>
      <c r="B163" s="26" t="s">
        <v>889</v>
      </c>
      <c r="C163" s="172">
        <v>0</v>
      </c>
      <c r="D163" s="138">
        <v>0.40400000000000003</v>
      </c>
      <c r="E163" s="139">
        <v>0</v>
      </c>
      <c r="F163" s="140">
        <v>0</v>
      </c>
      <c r="G163" s="167">
        <v>0</v>
      </c>
      <c r="H163" s="167">
        <v>2.41</v>
      </c>
      <c r="I163" s="171">
        <v>2.41</v>
      </c>
      <c r="J163" s="42">
        <v>8.1000000000000003E-2</v>
      </c>
    </row>
    <row r="164" spans="1:10" ht="27.75" customHeight="1" x14ac:dyDescent="0.2">
      <c r="A164" s="165" t="s">
        <v>464</v>
      </c>
      <c r="B164" s="26" t="s">
        <v>890</v>
      </c>
      <c r="C164" s="172">
        <v>0</v>
      </c>
      <c r="D164" s="138">
        <v>0.89500000000000002</v>
      </c>
      <c r="E164" s="139">
        <v>0.114</v>
      </c>
      <c r="F164" s="140">
        <v>7.0000000000000001E-3</v>
      </c>
      <c r="G164" s="167">
        <v>33.22</v>
      </c>
      <c r="H164" s="167">
        <v>2.73</v>
      </c>
      <c r="I164" s="171">
        <v>2.73</v>
      </c>
      <c r="J164" s="42">
        <v>7.0000000000000007E-2</v>
      </c>
    </row>
    <row r="165" spans="1:10" ht="27.75" customHeight="1" x14ac:dyDescent="0.2">
      <c r="A165" s="165" t="s">
        <v>465</v>
      </c>
      <c r="B165" s="26" t="s">
        <v>891</v>
      </c>
      <c r="C165" s="172">
        <v>0</v>
      </c>
      <c r="D165" s="138">
        <v>0.108</v>
      </c>
      <c r="E165" s="139">
        <v>0</v>
      </c>
      <c r="F165" s="140">
        <v>0</v>
      </c>
      <c r="G165" s="167">
        <v>0</v>
      </c>
      <c r="H165" s="167">
        <v>2.73</v>
      </c>
      <c r="I165" s="171">
        <v>2.73</v>
      </c>
      <c r="J165" s="42">
        <v>7.0000000000000007E-2</v>
      </c>
    </row>
    <row r="166" spans="1:10" ht="27.75" customHeight="1" x14ac:dyDescent="0.2">
      <c r="A166" s="165" t="s">
        <v>466</v>
      </c>
      <c r="B166" s="26" t="s">
        <v>892</v>
      </c>
      <c r="C166" s="172">
        <v>0</v>
      </c>
      <c r="D166" s="138">
        <v>5.7000000000000002E-2</v>
      </c>
      <c r="E166" s="139">
        <v>0</v>
      </c>
      <c r="F166" s="140">
        <v>0</v>
      </c>
      <c r="G166" s="167">
        <v>0</v>
      </c>
      <c r="H166" s="167">
        <v>2.73</v>
      </c>
      <c r="I166" s="171">
        <v>2.73</v>
      </c>
      <c r="J166" s="42">
        <v>7.0000000000000007E-2</v>
      </c>
    </row>
    <row r="167" spans="1:10" ht="27.75" customHeight="1" x14ac:dyDescent="0.2">
      <c r="A167" s="165" t="s">
        <v>467</v>
      </c>
      <c r="B167" s="26" t="s">
        <v>893</v>
      </c>
      <c r="C167" s="172">
        <v>0</v>
      </c>
      <c r="D167" s="138">
        <v>7.8E-2</v>
      </c>
      <c r="E167" s="139">
        <v>0</v>
      </c>
      <c r="F167" s="140">
        <v>0</v>
      </c>
      <c r="G167" s="167">
        <v>0</v>
      </c>
      <c r="H167" s="167">
        <v>2.73</v>
      </c>
      <c r="I167" s="171">
        <v>2.73</v>
      </c>
      <c r="J167" s="42">
        <v>7.0000000000000007E-2</v>
      </c>
    </row>
    <row r="168" spans="1:10" ht="27.75" customHeight="1" x14ac:dyDescent="0.2">
      <c r="A168" s="165" t="s">
        <v>468</v>
      </c>
      <c r="B168" s="26" t="s">
        <v>894</v>
      </c>
      <c r="C168" s="172">
        <v>0</v>
      </c>
      <c r="D168" s="138">
        <v>6.2E-2</v>
      </c>
      <c r="E168" s="139">
        <v>0</v>
      </c>
      <c r="F168" s="140">
        <v>0</v>
      </c>
      <c r="G168" s="167">
        <v>0</v>
      </c>
      <c r="H168" s="167">
        <v>2.73</v>
      </c>
      <c r="I168" s="171">
        <v>2.73</v>
      </c>
      <c r="J168" s="42">
        <v>7.0000000000000007E-2</v>
      </c>
    </row>
    <row r="169" spans="1:10" ht="27.75" customHeight="1" x14ac:dyDescent="0.2">
      <c r="A169" s="165" t="s">
        <v>713</v>
      </c>
      <c r="B169" s="26" t="s">
        <v>895</v>
      </c>
      <c r="C169" s="172" t="s">
        <v>680</v>
      </c>
      <c r="D169" s="141">
        <v>6.5670000000000002</v>
      </c>
      <c r="E169" s="142">
        <v>0.53600000000000003</v>
      </c>
      <c r="F169" s="140">
        <v>7.4999999999999997E-2</v>
      </c>
      <c r="G169" s="168"/>
      <c r="H169" s="168"/>
      <c r="I169" s="170"/>
      <c r="J169" s="43"/>
    </row>
    <row r="170" spans="1:10" ht="27.75" customHeight="1" x14ac:dyDescent="0.2">
      <c r="A170" s="165" t="s">
        <v>714</v>
      </c>
      <c r="B170" s="26" t="s">
        <v>896</v>
      </c>
      <c r="C170" s="172" t="s">
        <v>682</v>
      </c>
      <c r="D170" s="138">
        <v>-1.8160000000000001</v>
      </c>
      <c r="E170" s="139">
        <v>-0.214</v>
      </c>
      <c r="F170" s="140">
        <v>-1.6E-2</v>
      </c>
      <c r="G170" s="167">
        <v>0</v>
      </c>
      <c r="H170" s="168"/>
      <c r="I170" s="170"/>
      <c r="J170" s="43"/>
    </row>
    <row r="171" spans="1:10" ht="27.75" customHeight="1" x14ac:dyDescent="0.2">
      <c r="A171" s="165" t="s">
        <v>715</v>
      </c>
      <c r="B171" s="26" t="s">
        <v>897</v>
      </c>
      <c r="C171" s="172">
        <v>0</v>
      </c>
      <c r="D171" s="138">
        <v>-1.651</v>
      </c>
      <c r="E171" s="139">
        <v>-0.19700000000000001</v>
      </c>
      <c r="F171" s="140">
        <v>-1.4E-2</v>
      </c>
      <c r="G171" s="167">
        <v>0</v>
      </c>
      <c r="H171" s="168"/>
      <c r="I171" s="170"/>
      <c r="J171" s="43"/>
    </row>
    <row r="172" spans="1:10" ht="27.75" customHeight="1" x14ac:dyDescent="0.2">
      <c r="A172" s="165" t="s">
        <v>716</v>
      </c>
      <c r="B172" s="26" t="s">
        <v>898</v>
      </c>
      <c r="C172" s="172">
        <v>0</v>
      </c>
      <c r="D172" s="138">
        <v>-1.8160000000000001</v>
      </c>
      <c r="E172" s="139">
        <v>-0.214</v>
      </c>
      <c r="F172" s="140">
        <v>-1.6E-2</v>
      </c>
      <c r="G172" s="167">
        <v>0</v>
      </c>
      <c r="H172" s="168"/>
      <c r="I172" s="170"/>
      <c r="J172" s="42">
        <v>0.128</v>
      </c>
    </row>
    <row r="173" spans="1:10" ht="27.75" customHeight="1" x14ac:dyDescent="0.2">
      <c r="A173" s="165" t="s">
        <v>717</v>
      </c>
      <c r="B173" s="26" t="s">
        <v>899</v>
      </c>
      <c r="C173" s="172">
        <v>0</v>
      </c>
      <c r="D173" s="138">
        <v>-1.651</v>
      </c>
      <c r="E173" s="139">
        <v>-0.19700000000000001</v>
      </c>
      <c r="F173" s="140">
        <v>-1.4E-2</v>
      </c>
      <c r="G173" s="167">
        <v>0</v>
      </c>
      <c r="H173" s="168"/>
      <c r="I173" s="170"/>
      <c r="J173" s="42">
        <v>0.111</v>
      </c>
    </row>
    <row r="174" spans="1:10" ht="27.75" customHeight="1" x14ac:dyDescent="0.2">
      <c r="A174" s="165" t="s">
        <v>718</v>
      </c>
      <c r="B174" s="26" t="s">
        <v>900</v>
      </c>
      <c r="C174" s="172">
        <v>0</v>
      </c>
      <c r="D174" s="138">
        <v>-1.4019999999999999</v>
      </c>
      <c r="E174" s="139">
        <v>-0.17899999999999999</v>
      </c>
      <c r="F174" s="140">
        <v>-0.01</v>
      </c>
      <c r="G174" s="167">
        <v>3.05</v>
      </c>
      <c r="H174" s="168"/>
      <c r="I174" s="170"/>
      <c r="J174" s="42">
        <v>0.128</v>
      </c>
    </row>
    <row r="175" spans="1:10" ht="27.75" customHeight="1" x14ac:dyDescent="0.2">
      <c r="A175" s="165" t="s">
        <v>573</v>
      </c>
      <c r="B175" s="26" t="s">
        <v>901</v>
      </c>
      <c r="C175" s="172" t="s">
        <v>673</v>
      </c>
      <c r="D175" s="138">
        <v>0.80900000000000005</v>
      </c>
      <c r="E175" s="139">
        <v>8.2000000000000003E-2</v>
      </c>
      <c r="F175" s="140">
        <v>0</v>
      </c>
      <c r="G175" s="167">
        <v>0</v>
      </c>
      <c r="H175" s="168"/>
      <c r="I175" s="170"/>
      <c r="J175" s="43"/>
    </row>
    <row r="176" spans="1:10" ht="27.75" customHeight="1" x14ac:dyDescent="0.2">
      <c r="A176" s="165" t="s">
        <v>719</v>
      </c>
      <c r="B176" s="26" t="s">
        <v>902</v>
      </c>
      <c r="C176" s="172">
        <v>2</v>
      </c>
      <c r="D176" s="138">
        <v>0.82399999999999995</v>
      </c>
      <c r="E176" s="139">
        <v>9.7000000000000003E-2</v>
      </c>
      <c r="F176" s="140">
        <v>7.0000000000000001E-3</v>
      </c>
      <c r="G176" s="168"/>
      <c r="H176" s="168"/>
      <c r="I176" s="170"/>
      <c r="J176" s="43"/>
    </row>
    <row r="177" spans="1:10" ht="27.75" customHeight="1" x14ac:dyDescent="0.2">
      <c r="A177" s="165" t="s">
        <v>574</v>
      </c>
      <c r="B177" s="26" t="s">
        <v>903</v>
      </c>
      <c r="C177" s="172" t="s">
        <v>674</v>
      </c>
      <c r="D177" s="138">
        <v>0.63800000000000001</v>
      </c>
      <c r="E177" s="139">
        <v>7.4999999999999997E-2</v>
      </c>
      <c r="F177" s="140">
        <v>6.0000000000000001E-3</v>
      </c>
      <c r="G177" s="167">
        <v>0.39</v>
      </c>
      <c r="H177" s="168"/>
      <c r="I177" s="170"/>
      <c r="J177" s="43"/>
    </row>
    <row r="178" spans="1:10" ht="27.75" customHeight="1" x14ac:dyDescent="0.2">
      <c r="A178" s="165" t="s">
        <v>575</v>
      </c>
      <c r="B178" s="26" t="s">
        <v>904</v>
      </c>
      <c r="C178" s="172" t="s">
        <v>674</v>
      </c>
      <c r="D178" s="138">
        <v>0.63</v>
      </c>
      <c r="E178" s="139">
        <v>6.7000000000000004E-2</v>
      </c>
      <c r="F178" s="140">
        <v>0</v>
      </c>
      <c r="G178" s="167">
        <v>0</v>
      </c>
      <c r="H178" s="168"/>
      <c r="I178" s="170"/>
      <c r="J178" s="43"/>
    </row>
    <row r="179" spans="1:10" ht="27.75" customHeight="1" x14ac:dyDescent="0.2">
      <c r="A179" s="165" t="s">
        <v>576</v>
      </c>
      <c r="B179" s="26" t="s">
        <v>905</v>
      </c>
      <c r="C179" s="172" t="s">
        <v>674</v>
      </c>
      <c r="D179" s="138">
        <v>0.57399999999999995</v>
      </c>
      <c r="E179" s="139">
        <v>1.0999999999999999E-2</v>
      </c>
      <c r="F179" s="140">
        <v>0</v>
      </c>
      <c r="G179" s="167">
        <v>0</v>
      </c>
      <c r="H179" s="168"/>
      <c r="I179" s="170"/>
      <c r="J179" s="43"/>
    </row>
    <row r="180" spans="1:10" ht="27.75" customHeight="1" x14ac:dyDescent="0.2">
      <c r="A180" s="165" t="s">
        <v>577</v>
      </c>
      <c r="B180" s="26" t="s">
        <v>906</v>
      </c>
      <c r="C180" s="172" t="s">
        <v>674</v>
      </c>
      <c r="D180" s="138">
        <v>0.55300000000000005</v>
      </c>
      <c r="E180" s="139">
        <v>0</v>
      </c>
      <c r="F180" s="140">
        <v>0</v>
      </c>
      <c r="G180" s="167">
        <v>0</v>
      </c>
      <c r="H180" s="168"/>
      <c r="I180" s="170"/>
      <c r="J180" s="43"/>
    </row>
    <row r="181" spans="1:10" ht="27.75" customHeight="1" x14ac:dyDescent="0.2">
      <c r="A181" s="165" t="s">
        <v>578</v>
      </c>
      <c r="B181" s="26" t="s">
        <v>907</v>
      </c>
      <c r="C181" s="172" t="s">
        <v>674</v>
      </c>
      <c r="D181" s="138">
        <v>0.52600000000000002</v>
      </c>
      <c r="E181" s="139">
        <v>0</v>
      </c>
      <c r="F181" s="140">
        <v>0</v>
      </c>
      <c r="G181" s="167">
        <v>0</v>
      </c>
      <c r="H181" s="168"/>
      <c r="I181" s="170"/>
      <c r="J181" s="43"/>
    </row>
    <row r="182" spans="1:10" ht="27.75" customHeight="1" x14ac:dyDescent="0.2">
      <c r="A182" s="165" t="s">
        <v>720</v>
      </c>
      <c r="B182" s="26" t="s">
        <v>908</v>
      </c>
      <c r="C182" s="172">
        <v>4</v>
      </c>
      <c r="D182" s="138">
        <v>0.63800000000000001</v>
      </c>
      <c r="E182" s="139">
        <v>7.4999999999999997E-2</v>
      </c>
      <c r="F182" s="140">
        <v>6.0000000000000001E-3</v>
      </c>
      <c r="G182" s="168"/>
      <c r="H182" s="168"/>
      <c r="I182" s="170"/>
      <c r="J182" s="43"/>
    </row>
    <row r="183" spans="1:10" ht="27.75" customHeight="1" x14ac:dyDescent="0.2">
      <c r="A183" s="165" t="s">
        <v>439</v>
      </c>
      <c r="B183" s="26" t="s">
        <v>909</v>
      </c>
      <c r="C183" s="172">
        <v>0</v>
      </c>
      <c r="D183" s="138">
        <v>0.50700000000000001</v>
      </c>
      <c r="E183" s="139">
        <v>6.0999999999999999E-2</v>
      </c>
      <c r="F183" s="140">
        <v>4.0000000000000001E-3</v>
      </c>
      <c r="G183" s="167">
        <v>0.96</v>
      </c>
      <c r="H183" s="167">
        <v>0.55000000000000004</v>
      </c>
      <c r="I183" s="171">
        <v>0.55000000000000004</v>
      </c>
      <c r="J183" s="42">
        <v>3.9E-2</v>
      </c>
    </row>
    <row r="184" spans="1:10" ht="27.75" customHeight="1" x14ac:dyDescent="0.2">
      <c r="A184" s="165" t="s">
        <v>440</v>
      </c>
      <c r="B184" s="26" t="s">
        <v>910</v>
      </c>
      <c r="C184" s="172">
        <v>0</v>
      </c>
      <c r="D184" s="138">
        <v>0.32400000000000001</v>
      </c>
      <c r="E184" s="139">
        <v>2.1000000000000001E-2</v>
      </c>
      <c r="F184" s="140">
        <v>2E-3</v>
      </c>
      <c r="G184" s="167">
        <v>0.15</v>
      </c>
      <c r="H184" s="167">
        <v>0.55000000000000004</v>
      </c>
      <c r="I184" s="171">
        <v>0.55000000000000004</v>
      </c>
      <c r="J184" s="42">
        <v>3.9E-2</v>
      </c>
    </row>
    <row r="185" spans="1:10" ht="27.75" customHeight="1" x14ac:dyDescent="0.2">
      <c r="A185" s="165" t="s">
        <v>441</v>
      </c>
      <c r="B185" s="26" t="s">
        <v>911</v>
      </c>
      <c r="C185" s="172">
        <v>0</v>
      </c>
      <c r="D185" s="138">
        <v>0.32</v>
      </c>
      <c r="E185" s="139">
        <v>2.1000000000000001E-2</v>
      </c>
      <c r="F185" s="140">
        <v>2E-3</v>
      </c>
      <c r="G185" s="167">
        <v>0.15</v>
      </c>
      <c r="H185" s="167">
        <v>0.55000000000000004</v>
      </c>
      <c r="I185" s="171">
        <v>0.55000000000000004</v>
      </c>
      <c r="J185" s="42">
        <v>3.9E-2</v>
      </c>
    </row>
    <row r="186" spans="1:10" ht="27.75" customHeight="1" x14ac:dyDescent="0.2">
      <c r="A186" s="165" t="s">
        <v>442</v>
      </c>
      <c r="B186" s="26" t="s">
        <v>912</v>
      </c>
      <c r="C186" s="172">
        <v>0</v>
      </c>
      <c r="D186" s="138">
        <v>0.316</v>
      </c>
      <c r="E186" s="139">
        <v>2.1000000000000001E-2</v>
      </c>
      <c r="F186" s="140">
        <v>2E-3</v>
      </c>
      <c r="G186" s="167">
        <v>0.15</v>
      </c>
      <c r="H186" s="167">
        <v>0.55000000000000004</v>
      </c>
      <c r="I186" s="171">
        <v>0.55000000000000004</v>
      </c>
      <c r="J186" s="42">
        <v>3.9E-2</v>
      </c>
    </row>
    <row r="187" spans="1:10" ht="27.75" customHeight="1" x14ac:dyDescent="0.2">
      <c r="A187" s="165" t="s">
        <v>443</v>
      </c>
      <c r="B187" s="26" t="s">
        <v>913</v>
      </c>
      <c r="C187" s="172">
        <v>0</v>
      </c>
      <c r="D187" s="138">
        <v>0.311</v>
      </c>
      <c r="E187" s="139">
        <v>2.1000000000000001E-2</v>
      </c>
      <c r="F187" s="140">
        <v>2E-3</v>
      </c>
      <c r="G187" s="167">
        <v>0.15</v>
      </c>
      <c r="H187" s="167">
        <v>0.55000000000000004</v>
      </c>
      <c r="I187" s="171">
        <v>0.55000000000000004</v>
      </c>
      <c r="J187" s="42">
        <v>3.9E-2</v>
      </c>
    </row>
    <row r="188" spans="1:10" ht="27.75" customHeight="1" x14ac:dyDescent="0.2">
      <c r="A188" s="165" t="s">
        <v>444</v>
      </c>
      <c r="B188" s="26" t="s">
        <v>914</v>
      </c>
      <c r="C188" s="172">
        <v>0</v>
      </c>
      <c r="D188" s="138">
        <v>0.45100000000000001</v>
      </c>
      <c r="E188" s="139">
        <v>5.8000000000000003E-2</v>
      </c>
      <c r="F188" s="140">
        <v>3.0000000000000001E-3</v>
      </c>
      <c r="G188" s="167">
        <v>1.17</v>
      </c>
      <c r="H188" s="167">
        <v>1</v>
      </c>
      <c r="I188" s="171">
        <v>1</v>
      </c>
      <c r="J188" s="42">
        <v>3.3000000000000002E-2</v>
      </c>
    </row>
    <row r="189" spans="1:10" ht="27.75" customHeight="1" x14ac:dyDescent="0.2">
      <c r="A189" s="165" t="s">
        <v>445</v>
      </c>
      <c r="B189" s="26" t="s">
        <v>915</v>
      </c>
      <c r="C189" s="172">
        <v>0</v>
      </c>
      <c r="D189" s="138">
        <v>0.186</v>
      </c>
      <c r="E189" s="139">
        <v>0</v>
      </c>
      <c r="F189" s="140">
        <v>0</v>
      </c>
      <c r="G189" s="167">
        <v>0</v>
      </c>
      <c r="H189" s="167">
        <v>1</v>
      </c>
      <c r="I189" s="171">
        <v>1</v>
      </c>
      <c r="J189" s="42">
        <v>3.3000000000000002E-2</v>
      </c>
    </row>
    <row r="190" spans="1:10" ht="27.75" customHeight="1" x14ac:dyDescent="0.2">
      <c r="A190" s="165" t="s">
        <v>446</v>
      </c>
      <c r="B190" s="26" t="s">
        <v>916</v>
      </c>
      <c r="C190" s="172">
        <v>0</v>
      </c>
      <c r="D190" s="138">
        <v>0.18</v>
      </c>
      <c r="E190" s="139">
        <v>0</v>
      </c>
      <c r="F190" s="140">
        <v>0</v>
      </c>
      <c r="G190" s="167">
        <v>0</v>
      </c>
      <c r="H190" s="167">
        <v>1</v>
      </c>
      <c r="I190" s="171">
        <v>1</v>
      </c>
      <c r="J190" s="42">
        <v>3.3000000000000002E-2</v>
      </c>
    </row>
    <row r="191" spans="1:10" ht="27.75" customHeight="1" x14ac:dyDescent="0.2">
      <c r="A191" s="165" t="s">
        <v>447</v>
      </c>
      <c r="B191" s="26" t="s">
        <v>917</v>
      </c>
      <c r="C191" s="172">
        <v>0</v>
      </c>
      <c r="D191" s="138">
        <v>0.17399999999999999</v>
      </c>
      <c r="E191" s="139">
        <v>0</v>
      </c>
      <c r="F191" s="140">
        <v>0</v>
      </c>
      <c r="G191" s="167">
        <v>0</v>
      </c>
      <c r="H191" s="167">
        <v>1</v>
      </c>
      <c r="I191" s="171">
        <v>1</v>
      </c>
      <c r="J191" s="42">
        <v>3.3000000000000002E-2</v>
      </c>
    </row>
    <row r="192" spans="1:10" ht="27.75" customHeight="1" x14ac:dyDescent="0.2">
      <c r="A192" s="165" t="s">
        <v>448</v>
      </c>
      <c r="B192" s="26" t="s">
        <v>918</v>
      </c>
      <c r="C192" s="172">
        <v>0</v>
      </c>
      <c r="D192" s="138">
        <v>0.16700000000000001</v>
      </c>
      <c r="E192" s="139">
        <v>0</v>
      </c>
      <c r="F192" s="140">
        <v>0</v>
      </c>
      <c r="G192" s="167">
        <v>0</v>
      </c>
      <c r="H192" s="167">
        <v>1</v>
      </c>
      <c r="I192" s="171">
        <v>1</v>
      </c>
      <c r="J192" s="42">
        <v>3.3000000000000002E-2</v>
      </c>
    </row>
    <row r="193" spans="1:10" ht="27.75" customHeight="1" x14ac:dyDescent="0.2">
      <c r="A193" s="165" t="s">
        <v>449</v>
      </c>
      <c r="B193" s="26" t="s">
        <v>919</v>
      </c>
      <c r="C193" s="172">
        <v>0</v>
      </c>
      <c r="D193" s="138">
        <v>0.371</v>
      </c>
      <c r="E193" s="139">
        <v>4.7E-2</v>
      </c>
      <c r="F193" s="140">
        <v>3.0000000000000001E-3</v>
      </c>
      <c r="G193" s="167">
        <v>13.75</v>
      </c>
      <c r="H193" s="167">
        <v>1.1299999999999999</v>
      </c>
      <c r="I193" s="171">
        <v>1.1299999999999999</v>
      </c>
      <c r="J193" s="42">
        <v>2.9000000000000001E-2</v>
      </c>
    </row>
    <row r="194" spans="1:10" ht="27.75" customHeight="1" x14ac:dyDescent="0.2">
      <c r="A194" s="165" t="s">
        <v>450</v>
      </c>
      <c r="B194" s="26" t="s">
        <v>920</v>
      </c>
      <c r="C194" s="172">
        <v>0</v>
      </c>
      <c r="D194" s="138">
        <v>4.4999999999999998E-2</v>
      </c>
      <c r="E194" s="139">
        <v>0</v>
      </c>
      <c r="F194" s="140">
        <v>0</v>
      </c>
      <c r="G194" s="167">
        <v>0</v>
      </c>
      <c r="H194" s="167">
        <v>1.1299999999999999</v>
      </c>
      <c r="I194" s="171">
        <v>1.1299999999999999</v>
      </c>
      <c r="J194" s="42">
        <v>2.9000000000000001E-2</v>
      </c>
    </row>
    <row r="195" spans="1:10" ht="27.75" customHeight="1" x14ac:dyDescent="0.2">
      <c r="A195" s="165" t="s">
        <v>451</v>
      </c>
      <c r="B195" s="26" t="s">
        <v>921</v>
      </c>
      <c r="C195" s="172">
        <v>0</v>
      </c>
      <c r="D195" s="138">
        <v>2.4E-2</v>
      </c>
      <c r="E195" s="139">
        <v>0</v>
      </c>
      <c r="F195" s="140">
        <v>0</v>
      </c>
      <c r="G195" s="167">
        <v>0</v>
      </c>
      <c r="H195" s="167">
        <v>1.1299999999999999</v>
      </c>
      <c r="I195" s="171">
        <v>1.1299999999999999</v>
      </c>
      <c r="J195" s="42">
        <v>2.9000000000000001E-2</v>
      </c>
    </row>
    <row r="196" spans="1:10" ht="27.75" customHeight="1" x14ac:dyDescent="0.2">
      <c r="A196" s="165" t="s">
        <v>452</v>
      </c>
      <c r="B196" s="26" t="s">
        <v>922</v>
      </c>
      <c r="C196" s="172">
        <v>0</v>
      </c>
      <c r="D196" s="138">
        <v>3.2000000000000001E-2</v>
      </c>
      <c r="E196" s="139">
        <v>0</v>
      </c>
      <c r="F196" s="140">
        <v>0</v>
      </c>
      <c r="G196" s="167">
        <v>0</v>
      </c>
      <c r="H196" s="167">
        <v>1.1299999999999999</v>
      </c>
      <c r="I196" s="171">
        <v>1.1299999999999999</v>
      </c>
      <c r="J196" s="42">
        <v>2.9000000000000001E-2</v>
      </c>
    </row>
    <row r="197" spans="1:10" ht="27.75" customHeight="1" x14ac:dyDescent="0.2">
      <c r="A197" s="165" t="s">
        <v>453</v>
      </c>
      <c r="B197" s="26" t="s">
        <v>923</v>
      </c>
      <c r="C197" s="172">
        <v>0</v>
      </c>
      <c r="D197" s="138">
        <v>2.5000000000000001E-2</v>
      </c>
      <c r="E197" s="139">
        <v>0</v>
      </c>
      <c r="F197" s="140">
        <v>0</v>
      </c>
      <c r="G197" s="167">
        <v>0</v>
      </c>
      <c r="H197" s="167">
        <v>1.1299999999999999</v>
      </c>
      <c r="I197" s="171">
        <v>1.1299999999999999</v>
      </c>
      <c r="J197" s="42">
        <v>2.9000000000000001E-2</v>
      </c>
    </row>
    <row r="198" spans="1:10" ht="27.75" customHeight="1" x14ac:dyDescent="0.2">
      <c r="A198" s="165" t="s">
        <v>721</v>
      </c>
      <c r="B198" s="26" t="s">
        <v>924</v>
      </c>
      <c r="C198" s="172" t="s">
        <v>680</v>
      </c>
      <c r="D198" s="141">
        <v>2.7189999999999999</v>
      </c>
      <c r="E198" s="142">
        <v>0.222</v>
      </c>
      <c r="F198" s="140">
        <v>3.1E-2</v>
      </c>
      <c r="G198" s="168"/>
      <c r="H198" s="168"/>
      <c r="I198" s="170"/>
      <c r="J198" s="43"/>
    </row>
    <row r="199" spans="1:10" ht="27.75" customHeight="1" x14ac:dyDescent="0.2">
      <c r="A199" s="165" t="s">
        <v>722</v>
      </c>
      <c r="B199" s="26" t="s">
        <v>925</v>
      </c>
      <c r="C199" s="172" t="s">
        <v>682</v>
      </c>
      <c r="D199" s="138">
        <v>-0.752</v>
      </c>
      <c r="E199" s="139">
        <v>-8.7999999999999995E-2</v>
      </c>
      <c r="F199" s="140">
        <v>-7.0000000000000001E-3</v>
      </c>
      <c r="G199" s="167">
        <v>0</v>
      </c>
      <c r="H199" s="168"/>
      <c r="I199" s="170"/>
      <c r="J199" s="43"/>
    </row>
    <row r="200" spans="1:10" ht="27.75" customHeight="1" x14ac:dyDescent="0.2">
      <c r="A200" s="165" t="s">
        <v>723</v>
      </c>
      <c r="B200" s="26" t="s">
        <v>926</v>
      </c>
      <c r="C200" s="172">
        <v>0</v>
      </c>
      <c r="D200" s="138">
        <v>-0.68400000000000005</v>
      </c>
      <c r="E200" s="139">
        <v>-8.2000000000000003E-2</v>
      </c>
      <c r="F200" s="140">
        <v>-6.0000000000000001E-3</v>
      </c>
      <c r="G200" s="167">
        <v>0</v>
      </c>
      <c r="H200" s="168"/>
      <c r="I200" s="170"/>
      <c r="J200" s="43"/>
    </row>
    <row r="201" spans="1:10" ht="27.75" customHeight="1" x14ac:dyDescent="0.2">
      <c r="A201" s="165" t="s">
        <v>724</v>
      </c>
      <c r="B201" s="26" t="s">
        <v>927</v>
      </c>
      <c r="C201" s="172">
        <v>0</v>
      </c>
      <c r="D201" s="138">
        <v>-0.752</v>
      </c>
      <c r="E201" s="139">
        <v>-8.7999999999999995E-2</v>
      </c>
      <c r="F201" s="140">
        <v>-7.0000000000000001E-3</v>
      </c>
      <c r="G201" s="167">
        <v>0</v>
      </c>
      <c r="H201" s="168"/>
      <c r="I201" s="170"/>
      <c r="J201" s="42">
        <v>5.2999999999999999E-2</v>
      </c>
    </row>
    <row r="202" spans="1:10" ht="27.75" customHeight="1" x14ac:dyDescent="0.2">
      <c r="A202" s="165" t="s">
        <v>725</v>
      </c>
      <c r="B202" s="26" t="s">
        <v>928</v>
      </c>
      <c r="C202" s="172">
        <v>0</v>
      </c>
      <c r="D202" s="138">
        <v>-0.68400000000000005</v>
      </c>
      <c r="E202" s="139">
        <v>-8.2000000000000003E-2</v>
      </c>
      <c r="F202" s="140">
        <v>-6.0000000000000001E-3</v>
      </c>
      <c r="G202" s="167">
        <v>0</v>
      </c>
      <c r="H202" s="168"/>
      <c r="I202" s="170"/>
      <c r="J202" s="42">
        <v>4.5999999999999999E-2</v>
      </c>
    </row>
    <row r="203" spans="1:10" ht="27.75" customHeight="1" x14ac:dyDescent="0.2">
      <c r="A203" s="165" t="s">
        <v>726</v>
      </c>
      <c r="B203" s="26" t="s">
        <v>929</v>
      </c>
      <c r="C203" s="172">
        <v>0</v>
      </c>
      <c r="D203" s="138">
        <v>-0.58099999999999996</v>
      </c>
      <c r="E203" s="139">
        <v>-7.3999999999999996E-2</v>
      </c>
      <c r="F203" s="140">
        <v>-4.0000000000000001E-3</v>
      </c>
      <c r="G203" s="167">
        <v>1.26</v>
      </c>
      <c r="H203" s="168"/>
      <c r="I203" s="170"/>
      <c r="J203" s="42">
        <v>5.2999999999999999E-2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A2:J2"/>
    <mergeCell ref="F4:J4"/>
    <mergeCell ref="F5:G5"/>
    <mergeCell ref="F10:G10"/>
    <mergeCell ref="H10:J10"/>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showGridLines="0" zoomScale="80" zoomScaleNormal="80" zoomScaleSheetLayoutView="100" workbookViewId="0"/>
  </sheetViews>
  <sheetFormatPr defaultRowHeight="12.75" x14ac:dyDescent="0.2"/>
  <cols>
    <col min="1" max="1" width="28.85546875" customWidth="1"/>
    <col min="2" max="7" width="24" customWidth="1"/>
  </cols>
  <sheetData>
    <row r="1" spans="1:7" ht="27.75" customHeight="1" x14ac:dyDescent="0.2">
      <c r="A1" s="135" t="s">
        <v>16</v>
      </c>
    </row>
    <row r="2" spans="1:7" ht="44.25" customHeight="1" x14ac:dyDescent="0.2">
      <c r="A2" s="273" t="s">
        <v>660</v>
      </c>
      <c r="B2" s="273"/>
      <c r="C2" s="273"/>
      <c r="D2" s="273"/>
      <c r="E2" s="273"/>
      <c r="F2" s="273"/>
      <c r="G2" s="273"/>
    </row>
    <row r="3" spans="1:7" ht="33" customHeight="1" x14ac:dyDescent="0.2">
      <c r="A3" s="250" t="str">
        <f>Overview!B4&amp; " - Illustrative LLFs for year beginning "&amp;Overview!D4</f>
        <v>London Power Networks - Illustrative LLFs for year beginning 1 April 2027</v>
      </c>
      <c r="B3" s="251"/>
      <c r="C3" s="251"/>
      <c r="D3" s="251"/>
      <c r="E3" s="251"/>
      <c r="F3" s="251"/>
      <c r="G3" s="252"/>
    </row>
    <row r="4" spans="1:7" ht="9.75" customHeight="1" x14ac:dyDescent="0.2"/>
    <row r="5" spans="1:7" ht="19.5" customHeight="1" x14ac:dyDescent="0.2">
      <c r="A5" s="275" t="s">
        <v>9</v>
      </c>
      <c r="B5" s="275"/>
      <c r="C5" s="20" t="s">
        <v>2</v>
      </c>
      <c r="D5" s="20" t="s">
        <v>3</v>
      </c>
      <c r="E5" s="20" t="s">
        <v>4</v>
      </c>
      <c r="F5" s="20" t="s">
        <v>5</v>
      </c>
      <c r="G5" s="20" t="s">
        <v>624</v>
      </c>
    </row>
    <row r="6" spans="1:7" ht="19.5" customHeight="1" x14ac:dyDescent="0.2">
      <c r="A6" s="275"/>
      <c r="B6" s="275"/>
      <c r="C6" s="20" t="s">
        <v>625</v>
      </c>
      <c r="D6" s="20" t="s">
        <v>626</v>
      </c>
      <c r="E6" s="20" t="s">
        <v>627</v>
      </c>
      <c r="F6" s="20" t="s">
        <v>628</v>
      </c>
      <c r="G6" s="20" t="s">
        <v>629</v>
      </c>
    </row>
    <row r="7" spans="1:7" ht="39.950000000000003" customHeight="1" x14ac:dyDescent="0.2">
      <c r="A7" s="238" t="s">
        <v>630</v>
      </c>
      <c r="B7" s="239"/>
      <c r="C7" s="22" t="s">
        <v>631</v>
      </c>
      <c r="D7" s="21"/>
      <c r="E7" s="83" t="s">
        <v>632</v>
      </c>
      <c r="F7" s="21"/>
      <c r="G7" s="21"/>
    </row>
    <row r="8" spans="1:7" ht="39.950000000000003" customHeight="1" x14ac:dyDescent="0.2">
      <c r="A8" s="238" t="s">
        <v>633</v>
      </c>
      <c r="B8" s="239"/>
      <c r="C8" s="21"/>
      <c r="D8" s="22" t="s">
        <v>634</v>
      </c>
      <c r="E8" s="21"/>
      <c r="F8" s="21"/>
      <c r="G8" s="21"/>
    </row>
    <row r="9" spans="1:7" ht="39.950000000000003" customHeight="1" x14ac:dyDescent="0.2">
      <c r="A9" s="238" t="s">
        <v>635</v>
      </c>
      <c r="B9" s="239"/>
      <c r="C9" s="21"/>
      <c r="D9" s="21"/>
      <c r="E9" s="22" t="s">
        <v>634</v>
      </c>
      <c r="F9" s="21"/>
      <c r="G9" s="21"/>
    </row>
    <row r="10" spans="1:7" ht="39.950000000000003" customHeight="1" x14ac:dyDescent="0.2">
      <c r="A10" s="238" t="s">
        <v>636</v>
      </c>
      <c r="B10" s="239"/>
      <c r="C10" s="21"/>
      <c r="D10" s="21"/>
      <c r="E10" s="21"/>
      <c r="F10" s="83" t="s">
        <v>637</v>
      </c>
      <c r="G10" s="83" t="s">
        <v>638</v>
      </c>
    </row>
    <row r="11" spans="1:7" ht="20.100000000000001" customHeight="1" x14ac:dyDescent="0.2">
      <c r="A11" s="248" t="s">
        <v>10</v>
      </c>
      <c r="B11" s="248"/>
      <c r="C11" s="274" t="s">
        <v>11</v>
      </c>
      <c r="D11" s="274"/>
      <c r="E11" s="274"/>
      <c r="F11" s="274"/>
      <c r="G11" s="274"/>
    </row>
    <row r="12" spans="1:7" x14ac:dyDescent="0.2">
      <c r="B12" s="12"/>
      <c r="C12" s="12"/>
      <c r="D12" s="12"/>
      <c r="E12" s="12"/>
    </row>
    <row r="13" spans="1:7" ht="22.5" customHeight="1" x14ac:dyDescent="0.2">
      <c r="A13" s="275" t="s">
        <v>36</v>
      </c>
      <c r="B13" s="275"/>
      <c r="C13" s="275"/>
      <c r="D13" s="275"/>
      <c r="E13" s="275"/>
      <c r="F13" s="275"/>
      <c r="G13" s="275"/>
    </row>
    <row r="14" spans="1:7" ht="22.5" customHeight="1" x14ac:dyDescent="0.2">
      <c r="A14" s="275" t="s">
        <v>658</v>
      </c>
      <c r="B14" s="275"/>
      <c r="C14" s="275"/>
      <c r="D14" s="275"/>
      <c r="E14" s="275"/>
      <c r="F14" s="275"/>
      <c r="G14" s="275"/>
    </row>
    <row r="15" spans="1:7" ht="33" customHeight="1" x14ac:dyDescent="0.2">
      <c r="A15" s="20" t="s">
        <v>37</v>
      </c>
      <c r="B15" s="20" t="s">
        <v>2</v>
      </c>
      <c r="C15" s="20" t="s">
        <v>3</v>
      </c>
      <c r="D15" s="20" t="s">
        <v>4</v>
      </c>
      <c r="E15" s="20" t="s">
        <v>5</v>
      </c>
      <c r="F15" s="20" t="s">
        <v>624</v>
      </c>
      <c r="G15" s="20" t="s">
        <v>659</v>
      </c>
    </row>
    <row r="16" spans="1:7" ht="22.5" customHeight="1" x14ac:dyDescent="0.2">
      <c r="A16" s="1" t="s">
        <v>38</v>
      </c>
      <c r="B16" s="200"/>
      <c r="C16" s="200"/>
      <c r="D16" s="200"/>
      <c r="E16" s="200"/>
      <c r="F16" s="200"/>
      <c r="G16" s="199"/>
    </row>
    <row r="17" spans="1:7" ht="22.5" customHeight="1" x14ac:dyDescent="0.2">
      <c r="A17" s="1" t="s">
        <v>39</v>
      </c>
      <c r="B17" s="200"/>
      <c r="C17" s="200"/>
      <c r="D17" s="200"/>
      <c r="E17" s="200"/>
      <c r="F17" s="200"/>
      <c r="G17" s="199"/>
    </row>
    <row r="18" spans="1:7" ht="22.5" customHeight="1" x14ac:dyDescent="0.2">
      <c r="A18" s="1" t="s">
        <v>40</v>
      </c>
      <c r="B18" s="200"/>
      <c r="C18" s="200"/>
      <c r="D18" s="200"/>
      <c r="E18" s="200"/>
      <c r="F18" s="200"/>
      <c r="G18" s="199"/>
    </row>
    <row r="19" spans="1:7" ht="22.5" customHeight="1" x14ac:dyDescent="0.2">
      <c r="A19" s="1" t="s">
        <v>41</v>
      </c>
      <c r="B19" s="200"/>
      <c r="C19" s="200"/>
      <c r="D19" s="200"/>
      <c r="E19" s="200"/>
      <c r="F19" s="200"/>
      <c r="G19" s="199"/>
    </row>
    <row r="20" spans="1:7" ht="22.5" customHeight="1" x14ac:dyDescent="0.2">
      <c r="A20" s="1" t="s">
        <v>42</v>
      </c>
      <c r="B20" s="200"/>
      <c r="C20" s="200"/>
      <c r="D20" s="200"/>
      <c r="E20" s="200"/>
      <c r="F20" s="200"/>
      <c r="G20" s="199"/>
    </row>
    <row r="21" spans="1:7" ht="22.5" customHeight="1" x14ac:dyDescent="0.2">
      <c r="A21" s="1" t="s">
        <v>43</v>
      </c>
      <c r="B21" s="200"/>
      <c r="C21" s="200"/>
      <c r="D21" s="200"/>
      <c r="E21" s="200"/>
      <c r="F21" s="200"/>
      <c r="G21" s="199"/>
    </row>
    <row r="23" spans="1:7" ht="22.5" customHeight="1" x14ac:dyDescent="0.2">
      <c r="A23" s="275" t="s">
        <v>44</v>
      </c>
      <c r="B23" s="275"/>
      <c r="C23" s="275"/>
      <c r="D23" s="275"/>
      <c r="E23" s="275"/>
      <c r="F23" s="275"/>
      <c r="G23" s="275"/>
    </row>
    <row r="24" spans="1:7" ht="22.5" customHeight="1" x14ac:dyDescent="0.2">
      <c r="A24" s="275" t="s">
        <v>7</v>
      </c>
      <c r="B24" s="275"/>
      <c r="C24" s="275"/>
      <c r="D24" s="275"/>
      <c r="E24" s="275"/>
      <c r="F24" s="275"/>
      <c r="G24" s="275"/>
    </row>
    <row r="25" spans="1:7" ht="33" customHeight="1" x14ac:dyDescent="0.2">
      <c r="A25" s="20" t="s">
        <v>6</v>
      </c>
      <c r="B25" s="20" t="s">
        <v>2</v>
      </c>
      <c r="C25" s="20" t="s">
        <v>3</v>
      </c>
      <c r="D25" s="20" t="s">
        <v>4</v>
      </c>
      <c r="E25" s="20" t="s">
        <v>5</v>
      </c>
      <c r="F25" s="20" t="s">
        <v>624</v>
      </c>
      <c r="G25" s="20" t="s">
        <v>659</v>
      </c>
    </row>
    <row r="26" spans="1:7" ht="22.5" customHeight="1" x14ac:dyDescent="0.2">
      <c r="A26" s="203" t="s">
        <v>661</v>
      </c>
      <c r="B26" s="201"/>
      <c r="C26" s="201"/>
      <c r="D26" s="201"/>
      <c r="E26" s="201"/>
      <c r="F26" s="201"/>
      <c r="G26" s="202"/>
    </row>
    <row r="27" spans="1:7" ht="22.5" customHeight="1" x14ac:dyDescent="0.2">
      <c r="A27" s="203" t="s">
        <v>662</v>
      </c>
      <c r="B27" s="201"/>
      <c r="C27" s="201"/>
      <c r="D27" s="201"/>
      <c r="E27" s="201"/>
      <c r="F27" s="201"/>
      <c r="G27" s="202"/>
    </row>
    <row r="28" spans="1:7" ht="22.5" customHeight="1" x14ac:dyDescent="0.2">
      <c r="A28" s="203" t="s">
        <v>663</v>
      </c>
      <c r="B28" s="201"/>
      <c r="C28" s="201"/>
      <c r="D28" s="201"/>
      <c r="E28" s="201"/>
      <c r="F28" s="201"/>
      <c r="G28" s="202"/>
    </row>
    <row r="29" spans="1:7" ht="22.5" customHeight="1" x14ac:dyDescent="0.2">
      <c r="A29" s="203" t="s">
        <v>664</v>
      </c>
      <c r="B29" s="201"/>
      <c r="C29" s="201"/>
      <c r="D29" s="201"/>
      <c r="E29" s="201"/>
      <c r="F29" s="201"/>
      <c r="G29" s="202"/>
    </row>
    <row r="30" spans="1:7" ht="22.5" customHeight="1" x14ac:dyDescent="0.2">
      <c r="A30" s="203" t="s">
        <v>665</v>
      </c>
      <c r="B30" s="201"/>
      <c r="C30" s="201"/>
      <c r="D30" s="201"/>
      <c r="E30" s="201"/>
      <c r="F30" s="201"/>
      <c r="G30" s="202"/>
    </row>
    <row r="31" spans="1:7" ht="12.75" customHeight="1" x14ac:dyDescent="0.2"/>
    <row r="32" spans="1:7" ht="22.5" customHeight="1" x14ac:dyDescent="0.2">
      <c r="A32" s="275" t="s">
        <v>44</v>
      </c>
      <c r="B32" s="275"/>
      <c r="C32" s="275"/>
      <c r="D32" s="275"/>
      <c r="E32" s="275"/>
      <c r="F32" s="275"/>
      <c r="G32" s="275"/>
    </row>
    <row r="33" spans="1:7" ht="22.5" customHeight="1" x14ac:dyDescent="0.2">
      <c r="A33" s="275" t="s">
        <v>8</v>
      </c>
      <c r="B33" s="275"/>
      <c r="C33" s="275"/>
      <c r="D33" s="275"/>
      <c r="E33" s="275"/>
      <c r="F33" s="275"/>
      <c r="G33" s="275"/>
    </row>
    <row r="34" spans="1:7" ht="33" customHeight="1" x14ac:dyDescent="0.2">
      <c r="A34" s="20" t="s">
        <v>6</v>
      </c>
      <c r="B34" s="20" t="s">
        <v>2</v>
      </c>
      <c r="C34" s="20" t="s">
        <v>3</v>
      </c>
      <c r="D34" s="20" t="s">
        <v>4</v>
      </c>
      <c r="E34" s="20" t="s">
        <v>5</v>
      </c>
      <c r="F34" s="20" t="s">
        <v>624</v>
      </c>
      <c r="G34" s="20" t="s">
        <v>659</v>
      </c>
    </row>
    <row r="35" spans="1:7" ht="22.5" customHeight="1" x14ac:dyDescent="0.2">
      <c r="A35" s="1" t="s">
        <v>661</v>
      </c>
      <c r="B35" s="201"/>
      <c r="C35" s="201"/>
      <c r="D35" s="201"/>
      <c r="E35" s="201"/>
      <c r="F35" s="201"/>
      <c r="G35" s="202"/>
    </row>
    <row r="36" spans="1:7" ht="22.5" customHeight="1" x14ac:dyDescent="0.2">
      <c r="A36" s="1" t="s">
        <v>662</v>
      </c>
      <c r="B36" s="201"/>
      <c r="C36" s="201"/>
      <c r="D36" s="201"/>
      <c r="E36" s="201"/>
      <c r="F36" s="201"/>
      <c r="G36" s="202"/>
    </row>
    <row r="37" spans="1:7" ht="22.5" customHeight="1" x14ac:dyDescent="0.2">
      <c r="A37" s="1" t="s">
        <v>663</v>
      </c>
      <c r="B37" s="201"/>
      <c r="C37" s="201"/>
      <c r="D37" s="201"/>
      <c r="E37" s="201"/>
      <c r="F37" s="201"/>
      <c r="G37" s="202"/>
    </row>
    <row r="38" spans="1:7" ht="22.5" customHeight="1" x14ac:dyDescent="0.2">
      <c r="A38" s="1" t="s">
        <v>664</v>
      </c>
      <c r="B38" s="201"/>
      <c r="C38" s="201"/>
      <c r="D38" s="201"/>
      <c r="E38" s="201"/>
      <c r="F38" s="201"/>
      <c r="G38" s="202"/>
    </row>
    <row r="39" spans="1:7" ht="22.5" customHeight="1" x14ac:dyDescent="0.2">
      <c r="A39" s="1" t="s">
        <v>665</v>
      </c>
      <c r="B39" s="201"/>
      <c r="C39" s="201"/>
      <c r="D39" s="201"/>
      <c r="E39" s="201"/>
      <c r="F39" s="201"/>
      <c r="G39" s="202"/>
    </row>
    <row r="40" spans="1:7" ht="12.75" customHeight="1" x14ac:dyDescent="0.2"/>
    <row r="41" spans="1:7" ht="22.5" customHeight="1" x14ac:dyDescent="0.2">
      <c r="A41" s="272" t="s">
        <v>648</v>
      </c>
      <c r="B41" s="272"/>
      <c r="C41" s="272"/>
      <c r="D41" s="272"/>
      <c r="E41" s="272"/>
      <c r="F41" s="272"/>
      <c r="G41" s="272"/>
    </row>
    <row r="42" spans="1:7" ht="22.5" customHeight="1" x14ac:dyDescent="0.2">
      <c r="A42" s="20" t="s">
        <v>6</v>
      </c>
      <c r="B42" s="20" t="s">
        <v>2</v>
      </c>
      <c r="C42" s="20" t="s">
        <v>3</v>
      </c>
      <c r="D42" s="20" t="s">
        <v>4</v>
      </c>
      <c r="E42" s="20" t="s">
        <v>5</v>
      </c>
      <c r="F42" s="20" t="s">
        <v>624</v>
      </c>
      <c r="G42" s="20" t="s">
        <v>649</v>
      </c>
    </row>
    <row r="43" spans="1:7" ht="22.5" customHeight="1" x14ac:dyDescent="0.2">
      <c r="A43" s="1" t="s">
        <v>661</v>
      </c>
      <c r="B43" s="201"/>
      <c r="C43" s="201"/>
      <c r="D43" s="201"/>
      <c r="E43" s="201"/>
      <c r="F43" s="201"/>
      <c r="G43" s="202"/>
    </row>
    <row r="44" spans="1:7" ht="22.5" customHeight="1" x14ac:dyDescent="0.2">
      <c r="A44" s="1" t="s">
        <v>662</v>
      </c>
      <c r="B44" s="201"/>
      <c r="C44" s="201"/>
      <c r="D44" s="201"/>
      <c r="E44" s="201"/>
      <c r="F44" s="201"/>
      <c r="G44" s="202"/>
    </row>
    <row r="45" spans="1:7" ht="22.5" customHeight="1" x14ac:dyDescent="0.2">
      <c r="A45" s="1" t="s">
        <v>663</v>
      </c>
      <c r="B45" s="201"/>
      <c r="C45" s="201"/>
      <c r="D45" s="201"/>
      <c r="E45" s="201"/>
      <c r="F45" s="201"/>
      <c r="G45" s="202"/>
    </row>
    <row r="46" spans="1:7" ht="22.5" customHeight="1" x14ac:dyDescent="0.2">
      <c r="A46" s="1" t="s">
        <v>664</v>
      </c>
      <c r="B46" s="201"/>
      <c r="C46" s="201"/>
      <c r="D46" s="201"/>
      <c r="E46" s="201"/>
      <c r="F46" s="201"/>
      <c r="G46" s="202"/>
    </row>
    <row r="47" spans="1:7" ht="22.5" customHeight="1" x14ac:dyDescent="0.2">
      <c r="A47" s="1" t="s">
        <v>665</v>
      </c>
      <c r="B47" s="201"/>
      <c r="C47" s="201"/>
      <c r="D47" s="201"/>
      <c r="E47" s="201"/>
      <c r="F47" s="201"/>
      <c r="G47" s="20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3:G13"/>
    <mergeCell ref="A14:G14"/>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100" workbookViewId="0"/>
  </sheetViews>
  <sheetFormatPr defaultRowHeight="27.75" customHeight="1" x14ac:dyDescent="0.2"/>
  <cols>
    <col min="1" max="2" width="14.7109375" style="2" customWidth="1"/>
    <col min="3" max="3" width="7.85546875" style="2" customWidth="1"/>
    <col min="4" max="4" width="14.7109375" style="2" customWidth="1"/>
    <col min="5" max="5" width="14.7109375" style="3" customWidth="1"/>
    <col min="6" max="6" width="7.8554687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 customHeight="1" x14ac:dyDescent="0.2">
      <c r="A1" s="13" t="s">
        <v>16</v>
      </c>
      <c r="B1" s="13"/>
      <c r="C1" s="13"/>
      <c r="D1" s="276" t="s">
        <v>643</v>
      </c>
      <c r="E1" s="276"/>
      <c r="F1" s="276"/>
      <c r="G1" s="276"/>
      <c r="H1" s="276"/>
      <c r="I1" s="276"/>
      <c r="J1" s="276"/>
      <c r="K1" s="276"/>
      <c r="L1" s="276"/>
      <c r="M1" s="276"/>
      <c r="N1" s="276"/>
      <c r="O1" s="276"/>
      <c r="P1" s="276"/>
      <c r="Q1" s="276"/>
    </row>
    <row r="2" spans="1:17" ht="27.75" customHeight="1" x14ac:dyDescent="0.2">
      <c r="A2" s="250" t="s">
        <v>125</v>
      </c>
      <c r="B2" s="251"/>
      <c r="C2" s="251"/>
      <c r="D2" s="251"/>
      <c r="E2" s="251"/>
      <c r="F2" s="251"/>
      <c r="G2" s="251"/>
      <c r="H2" s="251"/>
      <c r="I2" s="251"/>
      <c r="J2" s="251"/>
      <c r="K2" s="251"/>
      <c r="L2" s="251"/>
      <c r="M2" s="251"/>
      <c r="N2" s="251"/>
      <c r="O2" s="251"/>
      <c r="P2" s="251"/>
      <c r="Q2" s="252"/>
    </row>
    <row r="3" spans="1:17" ht="14.1" customHeight="1" x14ac:dyDescent="0.2">
      <c r="A3" s="13"/>
      <c r="B3" s="13"/>
      <c r="C3" s="13"/>
      <c r="D3" s="13"/>
      <c r="G3" s="23"/>
    </row>
    <row r="4" spans="1:17" s="11" customFormat="1" ht="25.5" customHeight="1" x14ac:dyDescent="0.2">
      <c r="A4" s="250" t="str">
        <f>Overview!B4&amp; " - Effective from "&amp;Overview!D4&amp;" - "&amp;Overview!E4&amp;" new designated EHV charges"</f>
        <v>London Power Networks - Effective from 1 April 2027 - Final new designated EHV charges</v>
      </c>
      <c r="B4" s="251"/>
      <c r="C4" s="251"/>
      <c r="D4" s="251"/>
      <c r="E4" s="251"/>
      <c r="F4" s="251"/>
      <c r="G4" s="251"/>
      <c r="H4" s="251"/>
      <c r="I4" s="251"/>
      <c r="J4" s="251"/>
      <c r="K4" s="251"/>
      <c r="L4" s="251"/>
      <c r="M4" s="251"/>
      <c r="N4" s="251"/>
      <c r="O4" s="251"/>
      <c r="P4" s="251"/>
      <c r="Q4" s="252"/>
    </row>
    <row r="5" spans="1:17" ht="66.95" customHeight="1" x14ac:dyDescent="0.2">
      <c r="A5" s="27" t="s">
        <v>128</v>
      </c>
      <c r="B5" s="27" t="s">
        <v>46</v>
      </c>
      <c r="C5" s="27" t="s">
        <v>652</v>
      </c>
      <c r="D5" s="27" t="s">
        <v>31</v>
      </c>
      <c r="E5" s="27" t="s">
        <v>47</v>
      </c>
      <c r="F5" s="27" t="s">
        <v>652</v>
      </c>
      <c r="G5" s="27" t="s">
        <v>32</v>
      </c>
      <c r="H5" s="75" t="s">
        <v>26</v>
      </c>
      <c r="I5" s="57" t="s">
        <v>531</v>
      </c>
      <c r="J5" s="75" t="str">
        <f>'Annex 2 Designated EHV charges'!I10</f>
        <v>Import
Super Red
unit charge
(p/kWh)</v>
      </c>
      <c r="K5" s="75" t="str">
        <f>'Annex 2 Designated EHV charges'!J10</f>
        <v>Import
fixed charge
(p/day)</v>
      </c>
      <c r="L5" s="75" t="str">
        <f>'Annex 2 Designated EHV charges'!K10</f>
        <v>Import
capacity charge
(p/kVA/day)</v>
      </c>
      <c r="M5" s="75" t="str">
        <f>'Annex 2 Designated EHV charges'!L10</f>
        <v>Import
exceeded capacity charge
(p/kVA/day)</v>
      </c>
      <c r="N5" s="75" t="str">
        <f>'Annex 2 Designated EHV charges'!M10</f>
        <v>Export
Super Red
unit charge
(p/kWh)</v>
      </c>
      <c r="O5" s="75" t="str">
        <f>'Annex 2 Designated EHV charges'!N10</f>
        <v>Export
fixed charge
(p/day)</v>
      </c>
      <c r="P5" s="75" t="str">
        <f>'Annex 2 Designated EHV charges'!O10</f>
        <v>Export
capacity charge
(p/kVA/day)</v>
      </c>
      <c r="Q5" s="75" t="str">
        <f>'Annex 2 Designated EHV charges'!P10</f>
        <v>Export
exceeded capacity charge
(p/kVA/day)</v>
      </c>
    </row>
    <row r="6" spans="1:17" ht="34.5" customHeight="1" x14ac:dyDescent="0.2">
      <c r="A6" s="48" t="s">
        <v>1503</v>
      </c>
      <c r="B6" s="48" t="s">
        <v>970</v>
      </c>
      <c r="C6" s="96">
        <v>802</v>
      </c>
      <c r="D6" s="59" t="s">
        <v>1004</v>
      </c>
      <c r="E6" s="49" t="s">
        <v>970</v>
      </c>
      <c r="F6" s="96">
        <v>702</v>
      </c>
      <c r="G6" s="59" t="s">
        <v>1005</v>
      </c>
      <c r="H6" s="60" t="s">
        <v>970</v>
      </c>
      <c r="I6" s="212">
        <v>4</v>
      </c>
      <c r="J6" s="64">
        <v>0</v>
      </c>
      <c r="K6" s="65">
        <v>73260.990000000005</v>
      </c>
      <c r="L6" s="65">
        <v>1.9</v>
      </c>
      <c r="M6" s="65">
        <v>1.9</v>
      </c>
      <c r="N6" s="213">
        <v>-2E-3</v>
      </c>
      <c r="O6" s="214">
        <v>1084.47</v>
      </c>
      <c r="P6" s="214">
        <v>0.05</v>
      </c>
      <c r="Q6" s="214">
        <v>0.05</v>
      </c>
    </row>
    <row r="7" spans="1:17" ht="20.100000000000001" customHeight="1" x14ac:dyDescent="0.2">
      <c r="A7" s="48"/>
      <c r="B7" s="48"/>
      <c r="C7" s="48"/>
      <c r="D7" s="48"/>
      <c r="E7" s="49"/>
      <c r="F7" s="49"/>
      <c r="G7" s="49"/>
      <c r="H7" s="50"/>
      <c r="I7" s="50"/>
      <c r="J7" s="29"/>
      <c r="K7" s="30"/>
      <c r="L7" s="30"/>
      <c r="M7" s="30"/>
      <c r="N7" s="38"/>
      <c r="O7" s="39"/>
      <c r="P7" s="39"/>
      <c r="Q7" s="39"/>
    </row>
    <row r="8" spans="1:17" ht="20.100000000000001" customHeight="1" x14ac:dyDescent="0.2">
      <c r="A8" s="48"/>
      <c r="B8" s="48"/>
      <c r="C8" s="48"/>
      <c r="D8" s="48"/>
      <c r="E8" s="49"/>
      <c r="F8" s="49"/>
      <c r="G8" s="49"/>
      <c r="H8" s="50"/>
      <c r="I8" s="50"/>
      <c r="J8" s="29"/>
      <c r="K8" s="30"/>
      <c r="L8" s="30"/>
      <c r="M8" s="30"/>
      <c r="N8" s="38"/>
      <c r="O8" s="39"/>
      <c r="P8" s="39"/>
      <c r="Q8" s="39"/>
    </row>
    <row r="9" spans="1:17" ht="20.100000000000001" customHeight="1" x14ac:dyDescent="0.2">
      <c r="A9" s="48"/>
      <c r="B9" s="48"/>
      <c r="C9" s="48"/>
      <c r="D9" s="48"/>
      <c r="E9" s="49"/>
      <c r="F9" s="49"/>
      <c r="G9" s="49"/>
      <c r="H9" s="50"/>
      <c r="I9" s="50"/>
      <c r="J9" s="29"/>
      <c r="K9" s="30"/>
      <c r="L9" s="30"/>
      <c r="M9" s="30"/>
      <c r="N9" s="38"/>
      <c r="O9" s="39"/>
      <c r="P9" s="39"/>
      <c r="Q9" s="39"/>
    </row>
    <row r="10" spans="1:17" ht="20.100000000000001" customHeight="1" x14ac:dyDescent="0.2">
      <c r="A10" s="48"/>
      <c r="B10" s="48"/>
      <c r="C10" s="48"/>
      <c r="D10" s="48"/>
      <c r="E10" s="49"/>
      <c r="F10" s="49"/>
      <c r="G10" s="49"/>
      <c r="H10" s="50"/>
      <c r="I10" s="50"/>
      <c r="J10" s="29"/>
      <c r="K10" s="30"/>
      <c r="L10" s="30"/>
      <c r="M10" s="30"/>
      <c r="N10" s="38"/>
      <c r="O10" s="39"/>
      <c r="P10" s="39"/>
      <c r="Q10" s="39"/>
    </row>
    <row r="11" spans="1:17" ht="20.100000000000001" customHeight="1" x14ac:dyDescent="0.2">
      <c r="A11" s="48"/>
      <c r="B11" s="48"/>
      <c r="C11" s="48"/>
      <c r="D11" s="48"/>
      <c r="E11" s="49"/>
      <c r="F11" s="49"/>
      <c r="G11" s="49"/>
      <c r="H11" s="50"/>
      <c r="I11" s="50"/>
      <c r="J11" s="29"/>
      <c r="K11" s="30"/>
      <c r="L11" s="30"/>
      <c r="M11" s="30"/>
      <c r="N11" s="38"/>
      <c r="O11" s="39"/>
      <c r="P11" s="39"/>
      <c r="Q11" s="39"/>
    </row>
    <row r="12" spans="1:17" ht="20.100000000000001" customHeight="1" x14ac:dyDescent="0.2">
      <c r="A12" s="48"/>
      <c r="B12" s="48"/>
      <c r="C12" s="48"/>
      <c r="D12" s="48"/>
      <c r="E12" s="49"/>
      <c r="F12" s="49"/>
      <c r="G12" s="49"/>
      <c r="H12" s="50"/>
      <c r="I12" s="50"/>
      <c r="J12" s="29"/>
      <c r="K12" s="30"/>
      <c r="L12" s="30"/>
      <c r="M12" s="30"/>
      <c r="N12" s="38"/>
      <c r="O12" s="39"/>
      <c r="P12" s="39"/>
      <c r="Q12" s="39"/>
    </row>
    <row r="13" spans="1:17" ht="20.100000000000001" customHeight="1" x14ac:dyDescent="0.2">
      <c r="A13" s="48"/>
      <c r="B13" s="48"/>
      <c r="C13" s="48"/>
      <c r="D13" s="48"/>
      <c r="E13" s="49"/>
      <c r="F13" s="49"/>
      <c r="G13" s="49"/>
      <c r="H13" s="50"/>
      <c r="I13" s="50"/>
      <c r="J13" s="29"/>
      <c r="K13" s="30"/>
      <c r="L13" s="30"/>
      <c r="M13" s="30"/>
      <c r="N13" s="38"/>
      <c r="O13" s="39"/>
      <c r="P13" s="39"/>
      <c r="Q13" s="39"/>
    </row>
    <row r="14" spans="1:17" ht="20.100000000000001" customHeight="1" x14ac:dyDescent="0.2">
      <c r="A14" s="48"/>
      <c r="B14" s="48"/>
      <c r="C14" s="48"/>
      <c r="D14" s="48"/>
      <c r="E14" s="49"/>
      <c r="F14" s="49"/>
      <c r="G14" s="49"/>
      <c r="H14" s="50"/>
      <c r="I14" s="50"/>
      <c r="J14" s="29"/>
      <c r="K14" s="30"/>
      <c r="L14" s="30"/>
      <c r="M14" s="30"/>
      <c r="N14" s="38"/>
      <c r="O14" s="39"/>
      <c r="P14" s="39"/>
      <c r="Q14" s="39"/>
    </row>
    <row r="15" spans="1:17" ht="20.100000000000001" customHeight="1" x14ac:dyDescent="0.2">
      <c r="A15" s="48"/>
      <c r="B15" s="48"/>
      <c r="C15" s="48"/>
      <c r="D15" s="48"/>
      <c r="E15" s="49"/>
      <c r="F15" s="49"/>
      <c r="G15" s="49"/>
      <c r="H15" s="50"/>
      <c r="I15" s="50"/>
      <c r="J15" s="29"/>
      <c r="K15" s="30"/>
      <c r="L15" s="30"/>
      <c r="M15" s="30"/>
      <c r="N15" s="38"/>
      <c r="O15" s="39"/>
      <c r="P15" s="39"/>
      <c r="Q15" s="39"/>
    </row>
    <row r="17" spans="1:19" ht="25.5" customHeight="1" x14ac:dyDescent="0.2">
      <c r="A17" s="250" t="str">
        <f>Overview!B4&amp; " - Effective from "&amp;Overview!D4&amp;" - "&amp;Overview!E4&amp;" new designated EHV line loss factors"</f>
        <v>London Power Networks - Effective from 1 April 2027 - Final new designated EHV line loss factors</v>
      </c>
      <c r="B17" s="251"/>
      <c r="C17" s="251"/>
      <c r="D17" s="251"/>
      <c r="E17" s="251"/>
      <c r="F17" s="251"/>
      <c r="G17" s="251"/>
      <c r="H17" s="251"/>
      <c r="I17" s="251"/>
      <c r="J17" s="251"/>
      <c r="K17" s="251"/>
      <c r="L17" s="251"/>
      <c r="M17" s="251"/>
      <c r="N17" s="251"/>
      <c r="O17" s="251"/>
      <c r="P17" s="251"/>
      <c r="Q17" s="251"/>
      <c r="R17" s="251"/>
      <c r="S17" s="252"/>
    </row>
    <row r="18" spans="1:19" ht="62.1" customHeight="1" x14ac:dyDescent="0.2">
      <c r="A18" s="27" t="s">
        <v>128</v>
      </c>
      <c r="B18" s="27" t="s">
        <v>46</v>
      </c>
      <c r="C18" s="27" t="s">
        <v>652</v>
      </c>
      <c r="D18" s="27" t="s">
        <v>31</v>
      </c>
      <c r="E18" s="27" t="s">
        <v>47</v>
      </c>
      <c r="F18" s="27" t="s">
        <v>652</v>
      </c>
      <c r="G18" s="27" t="s">
        <v>32</v>
      </c>
      <c r="H18" s="75" t="s">
        <v>26</v>
      </c>
      <c r="I18" s="57" t="s">
        <v>531</v>
      </c>
      <c r="J18" s="33" t="s">
        <v>101</v>
      </c>
      <c r="K18" s="33" t="s">
        <v>100</v>
      </c>
      <c r="L18" s="33" t="s">
        <v>102</v>
      </c>
      <c r="M18" s="33" t="s">
        <v>103</v>
      </c>
      <c r="N18" s="33" t="s">
        <v>639</v>
      </c>
      <c r="O18" s="35" t="s">
        <v>104</v>
      </c>
      <c r="P18" s="35" t="s">
        <v>105</v>
      </c>
      <c r="Q18" s="35" t="s">
        <v>106</v>
      </c>
      <c r="R18" s="35" t="s">
        <v>107</v>
      </c>
      <c r="S18" s="35" t="s">
        <v>640</v>
      </c>
    </row>
    <row r="19" spans="1:19" ht="20.100000000000001" customHeight="1" x14ac:dyDescent="0.2">
      <c r="A19" s="48"/>
      <c r="B19" s="48"/>
      <c r="C19" s="48"/>
      <c r="D19" s="48"/>
      <c r="E19" s="49"/>
      <c r="F19" s="36"/>
      <c r="G19" s="36"/>
      <c r="H19" s="37"/>
      <c r="I19" s="37"/>
      <c r="J19" s="40"/>
      <c r="K19" s="40"/>
      <c r="L19" s="31"/>
      <c r="M19" s="32"/>
      <c r="N19" s="32"/>
      <c r="O19" s="34"/>
      <c r="P19" s="34"/>
      <c r="Q19" s="34"/>
      <c r="R19" s="34"/>
      <c r="S19" s="34"/>
    </row>
    <row r="20" spans="1:19" ht="20.100000000000001" customHeight="1" x14ac:dyDescent="0.2">
      <c r="A20" s="48"/>
      <c r="B20" s="48"/>
      <c r="C20" s="48"/>
      <c r="D20" s="48"/>
      <c r="E20" s="49"/>
      <c r="F20" s="36"/>
      <c r="G20" s="36"/>
      <c r="H20" s="37"/>
      <c r="I20" s="37"/>
      <c r="J20" s="40"/>
      <c r="K20" s="40"/>
      <c r="L20" s="31"/>
      <c r="M20" s="32"/>
      <c r="N20" s="32"/>
      <c r="O20" s="34"/>
      <c r="P20" s="34"/>
      <c r="Q20" s="34"/>
      <c r="R20" s="34"/>
      <c r="S20" s="34"/>
    </row>
    <row r="21" spans="1:19" ht="20.100000000000001" customHeight="1" x14ac:dyDescent="0.2">
      <c r="A21" s="48"/>
      <c r="B21" s="48"/>
      <c r="C21" s="48"/>
      <c r="D21" s="48"/>
      <c r="E21" s="49"/>
      <c r="F21" s="36"/>
      <c r="G21" s="36"/>
      <c r="H21" s="37"/>
      <c r="I21" s="37"/>
      <c r="J21" s="40"/>
      <c r="K21" s="40"/>
      <c r="L21" s="31"/>
      <c r="M21" s="32"/>
      <c r="N21" s="32"/>
      <c r="O21" s="34"/>
      <c r="P21" s="34"/>
      <c r="Q21" s="34"/>
      <c r="R21" s="34"/>
      <c r="S21" s="34"/>
    </row>
    <row r="22" spans="1:19" ht="20.100000000000001" customHeight="1" x14ac:dyDescent="0.2">
      <c r="A22" s="48"/>
      <c r="B22" s="48"/>
      <c r="C22" s="48"/>
      <c r="D22" s="48"/>
      <c r="E22" s="49"/>
      <c r="F22" s="36"/>
      <c r="G22" s="36"/>
      <c r="H22" s="37"/>
      <c r="I22" s="37"/>
      <c r="J22" s="40"/>
      <c r="K22" s="40"/>
      <c r="L22" s="31"/>
      <c r="M22" s="32"/>
      <c r="N22" s="32"/>
      <c r="O22" s="34"/>
      <c r="P22" s="34"/>
      <c r="Q22" s="34"/>
      <c r="R22" s="34"/>
      <c r="S22" s="34"/>
    </row>
    <row r="23" spans="1:19" ht="20.100000000000001" customHeight="1" x14ac:dyDescent="0.2">
      <c r="A23" s="48"/>
      <c r="B23" s="48"/>
      <c r="C23" s="48"/>
      <c r="D23" s="48"/>
      <c r="E23" s="49"/>
      <c r="F23" s="36"/>
      <c r="G23" s="36"/>
      <c r="H23" s="37"/>
      <c r="I23" s="37"/>
      <c r="J23" s="40"/>
      <c r="K23" s="40"/>
      <c r="L23" s="31"/>
      <c r="M23" s="32"/>
      <c r="N23" s="32"/>
      <c r="O23" s="34"/>
      <c r="P23" s="34"/>
      <c r="Q23" s="34"/>
      <c r="R23" s="34"/>
      <c r="S23" s="34"/>
    </row>
    <row r="24" spans="1:19" ht="20.100000000000001" customHeight="1" x14ac:dyDescent="0.2">
      <c r="A24" s="48"/>
      <c r="B24" s="48"/>
      <c r="C24" s="48"/>
      <c r="D24" s="48"/>
      <c r="E24" s="49"/>
      <c r="F24" s="36"/>
      <c r="G24" s="36"/>
      <c r="H24" s="37"/>
      <c r="I24" s="37"/>
      <c r="J24" s="40"/>
      <c r="K24" s="40"/>
      <c r="L24" s="31"/>
      <c r="M24" s="32"/>
      <c r="N24" s="32"/>
      <c r="O24" s="34"/>
      <c r="P24" s="34"/>
      <c r="Q24" s="34"/>
      <c r="R24" s="34"/>
      <c r="S24" s="34"/>
    </row>
    <row r="25" spans="1:19" ht="20.100000000000001" customHeight="1" x14ac:dyDescent="0.2">
      <c r="A25" s="48"/>
      <c r="B25" s="48"/>
      <c r="C25" s="48"/>
      <c r="D25" s="48"/>
      <c r="E25" s="49"/>
      <c r="F25" s="36"/>
      <c r="G25" s="36"/>
      <c r="H25" s="37"/>
      <c r="I25" s="37"/>
      <c r="J25" s="40"/>
      <c r="K25" s="40"/>
      <c r="L25" s="31"/>
      <c r="M25" s="32"/>
      <c r="N25" s="32"/>
      <c r="O25" s="34"/>
      <c r="P25" s="34"/>
      <c r="Q25" s="34"/>
      <c r="R25" s="34"/>
      <c r="S25" s="34"/>
    </row>
    <row r="26" spans="1:19" ht="20.100000000000001" customHeight="1" x14ac:dyDescent="0.2">
      <c r="A26" s="48"/>
      <c r="B26" s="48"/>
      <c r="C26" s="48"/>
      <c r="D26" s="48"/>
      <c r="E26" s="49"/>
      <c r="F26" s="36"/>
      <c r="G26" s="36"/>
      <c r="H26" s="37"/>
      <c r="I26" s="37"/>
      <c r="J26" s="40"/>
      <c r="K26" s="40"/>
      <c r="L26" s="31"/>
      <c r="M26" s="32"/>
      <c r="N26" s="32"/>
      <c r="O26" s="34"/>
      <c r="P26" s="34"/>
      <c r="Q26" s="34"/>
      <c r="R26" s="34"/>
      <c r="S26" s="34"/>
    </row>
    <row r="27" spans="1:19" ht="20.100000000000001" customHeight="1" x14ac:dyDescent="0.2">
      <c r="A27" s="48"/>
      <c r="B27" s="48"/>
      <c r="C27" s="48"/>
      <c r="D27" s="48"/>
      <c r="E27" s="49"/>
      <c r="F27" s="36"/>
      <c r="G27" s="36"/>
      <c r="H27" s="37"/>
      <c r="I27" s="37"/>
      <c r="J27" s="40"/>
      <c r="K27" s="40"/>
      <c r="L27" s="31"/>
      <c r="M27" s="32"/>
      <c r="N27" s="32"/>
      <c r="O27" s="34"/>
      <c r="P27" s="34"/>
      <c r="Q27" s="34"/>
      <c r="R27" s="34"/>
      <c r="S27" s="34"/>
    </row>
    <row r="28" spans="1:19" ht="20.100000000000001" customHeight="1" x14ac:dyDescent="0.2">
      <c r="A28" s="48"/>
      <c r="B28" s="48"/>
      <c r="C28" s="48"/>
      <c r="D28" s="48"/>
      <c r="E28" s="49"/>
      <c r="F28" s="36"/>
      <c r="G28" s="36"/>
      <c r="H28" s="37"/>
      <c r="I28" s="37"/>
      <c r="J28" s="40"/>
      <c r="K28" s="40"/>
      <c r="L28" s="31"/>
      <c r="M28" s="32"/>
      <c r="N28" s="32"/>
      <c r="O28" s="34"/>
      <c r="P28" s="34"/>
      <c r="Q28" s="34"/>
      <c r="R28" s="34"/>
      <c r="S28" s="34"/>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D1:Q1"/>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14.140625" style="2" customWidth="1"/>
    <col min="4" max="5" width="17.5703125" style="3" customWidth="1"/>
    <col min="6" max="16384" width="9.140625" style="2"/>
  </cols>
  <sheetData>
    <row r="1" spans="1:5" ht="27.75" customHeight="1" x14ac:dyDescent="0.2">
      <c r="A1" s="13" t="s">
        <v>16</v>
      </c>
      <c r="B1" s="277"/>
      <c r="C1" s="277"/>
      <c r="D1" s="173"/>
      <c r="E1" s="173"/>
    </row>
    <row r="2" spans="1:5" ht="35.1" customHeight="1" x14ac:dyDescent="0.2">
      <c r="A2" s="250" t="str">
        <f>""&amp;Overview!B4&amp; " - Effective from "&amp;Overview!D4&amp;" - "&amp;Overview!E4&amp;" Supplier of Last Resort and Eligible Bad Debt Pass-Through Costs"</f>
        <v>London Power Networks - Effective from 1 April 2027 - Final Supplier of Last Resort and Eligible Bad Debt Pass-Through Costs</v>
      </c>
      <c r="B2" s="251"/>
      <c r="C2" s="251"/>
      <c r="D2" s="251"/>
      <c r="E2" s="252"/>
    </row>
    <row r="3" spans="1:5" s="78" customFormat="1" ht="14.1" customHeight="1" x14ac:dyDescent="0.2">
      <c r="A3" s="84"/>
      <c r="B3" s="84"/>
      <c r="C3" s="84"/>
      <c r="D3" s="84"/>
      <c r="E3" s="84"/>
    </row>
    <row r="4" spans="1:5" ht="75" customHeight="1" x14ac:dyDescent="0.2">
      <c r="A4" s="27" t="s">
        <v>117</v>
      </c>
      <c r="B4" s="14" t="s">
        <v>655</v>
      </c>
      <c r="C4" s="14" t="s">
        <v>20</v>
      </c>
      <c r="D4" s="14" t="s">
        <v>400</v>
      </c>
      <c r="E4" s="14" t="s">
        <v>641</v>
      </c>
    </row>
    <row r="5" spans="1:5" ht="20.100000000000001" customHeight="1" x14ac:dyDescent="0.2">
      <c r="A5" s="16" t="s">
        <v>579</v>
      </c>
      <c r="B5" s="196">
        <f>IFERROR(INDEX('Annex 1 LV, HV and UMS charges'!$B$13:$B$44,MATCH($A5,'Annex 1 LV, HV and UMS charges'!$A$13:$A$44,0)),IF(INDEX('Annex 4 LDNO charges'!$B$12:$B$202,MATCH($A5,'Annex 4 LDNO charges'!$A$12:$A$202,0))=0,"",INDEX('Annex 4 LDNO charges'!$B$12:$B$202,MATCH($A5,'Annex 4 LDNO charges'!$A$12:$A$202,0))))</f>
        <v>1</v>
      </c>
      <c r="C5" s="197" t="str">
        <f>IFERROR(INDEX('Annex 1 LV, HV and UMS charges'!$C$13:$C$44,MATCH($A5,'Annex 1 LV, HV and UMS charges'!$A$13:$A$44,0)),INDEX('Annex 4 LDNO charges'!$C$12:$C$202,MATCH($A5,'Annex 4 LDNO charges'!$A$12:$A$202,0)))</f>
        <v>0, 1, 2</v>
      </c>
      <c r="D5" s="204">
        <v>0</v>
      </c>
      <c r="E5" s="204">
        <v>0</v>
      </c>
    </row>
    <row r="6" spans="1:5" ht="20.100000000000001" customHeight="1" x14ac:dyDescent="0.2">
      <c r="A6" s="16" t="s">
        <v>532</v>
      </c>
      <c r="B6" s="196">
        <f>IFERROR(INDEX('Annex 1 LV, HV and UMS charges'!$B$13:$B$44,MATCH($A6,'Annex 1 LV, HV and UMS charges'!$A$13:$A$44,0)),IF(INDEX('Annex 4 LDNO charges'!$B$12:$B$202,MATCH($A6,'Annex 4 LDNO charges'!$A$12:$A$202,0))=0,"",INDEX('Annex 4 LDNO charges'!$B$12:$B$202,MATCH($A6,'Annex 4 LDNO charges'!$A$12:$A$202,0))))</f>
        <v>199</v>
      </c>
      <c r="C6" s="197" t="str">
        <f>IFERROR(INDEX('Annex 1 LV, HV and UMS charges'!$C$13:$C$44,MATCH($A6,'Annex 1 LV, HV and UMS charges'!$A$13:$A$44,0)),INDEX('Annex 4 LDNO charges'!$C$12:$C$202,MATCH($A6,'Annex 4 LDNO charges'!$A$12:$A$202,0)))</f>
        <v>0, 3, 4, 5-8</v>
      </c>
      <c r="D6" s="181"/>
      <c r="E6" s="204">
        <v>0</v>
      </c>
    </row>
    <row r="7" spans="1:5" ht="20.100000000000001" customHeight="1" x14ac:dyDescent="0.2">
      <c r="A7" s="16" t="s">
        <v>533</v>
      </c>
      <c r="B7" s="196" t="str">
        <f>IFERROR(INDEX('Annex 1 LV, HV and UMS charges'!$B$13:$B$44,MATCH($A7,'Annex 1 LV, HV and UMS charges'!$A$13:$A$44,0)),IF(INDEX('Annex 4 LDNO charges'!$B$12:$B$202,MATCH($A7,'Annex 4 LDNO charges'!$A$12:$A$202,0))=0,"",INDEX('Annex 4 LDNO charges'!$B$12:$B$202,MATCH($A7,'Annex 4 LDNO charges'!$A$12:$A$202,0))))</f>
        <v>201, N01</v>
      </c>
      <c r="C7" s="197" t="str">
        <f>IFERROR(INDEX('Annex 1 LV, HV and UMS charges'!$C$13:$C$44,MATCH($A7,'Annex 1 LV, HV and UMS charges'!$A$13:$A$44,0)),INDEX('Annex 4 LDNO charges'!$C$12:$C$202,MATCH($A7,'Annex 4 LDNO charges'!$A$12:$A$202,0)))</f>
        <v>0, 3, 4, 5-8</v>
      </c>
      <c r="D7" s="181"/>
      <c r="E7" s="204">
        <v>0</v>
      </c>
    </row>
    <row r="8" spans="1:5" ht="20.100000000000001" customHeight="1" x14ac:dyDescent="0.2">
      <c r="A8" s="16" t="s">
        <v>534</v>
      </c>
      <c r="B8" s="196" t="str">
        <f>IFERROR(INDEX('Annex 1 LV, HV and UMS charges'!$B$13:$B$44,MATCH($A8,'Annex 1 LV, HV and UMS charges'!$A$13:$A$44,0)),IF(INDEX('Annex 4 LDNO charges'!$B$12:$B$202,MATCH($A8,'Annex 4 LDNO charges'!$A$12:$A$202,0))=0,"",INDEX('Annex 4 LDNO charges'!$B$12:$B$202,MATCH($A8,'Annex 4 LDNO charges'!$A$12:$A$202,0))))</f>
        <v>202, N02</v>
      </c>
      <c r="C8" s="197" t="str">
        <f>IFERROR(INDEX('Annex 1 LV, HV and UMS charges'!$C$13:$C$44,MATCH($A8,'Annex 1 LV, HV and UMS charges'!$A$13:$A$44,0)),INDEX('Annex 4 LDNO charges'!$C$12:$C$202,MATCH($A8,'Annex 4 LDNO charges'!$A$12:$A$202,0)))</f>
        <v>0, 3, 4, 5-8</v>
      </c>
      <c r="D8" s="181"/>
      <c r="E8" s="204">
        <v>0</v>
      </c>
    </row>
    <row r="9" spans="1:5" ht="20.100000000000001" customHeight="1" x14ac:dyDescent="0.2">
      <c r="A9" s="16" t="s">
        <v>535</v>
      </c>
      <c r="B9" s="196" t="str">
        <f>IFERROR(INDEX('Annex 1 LV, HV and UMS charges'!$B$13:$B$44,MATCH($A9,'Annex 1 LV, HV and UMS charges'!$A$13:$A$44,0)),IF(INDEX('Annex 4 LDNO charges'!$B$12:$B$202,MATCH($A9,'Annex 4 LDNO charges'!$A$12:$A$202,0))=0,"",INDEX('Annex 4 LDNO charges'!$B$12:$B$202,MATCH($A9,'Annex 4 LDNO charges'!$A$12:$A$202,0))))</f>
        <v>203, N03</v>
      </c>
      <c r="C9" s="197" t="str">
        <f>IFERROR(INDEX('Annex 1 LV, HV and UMS charges'!$C$13:$C$44,MATCH($A9,'Annex 1 LV, HV and UMS charges'!$A$13:$A$44,0)),INDEX('Annex 4 LDNO charges'!$C$12:$C$202,MATCH($A9,'Annex 4 LDNO charges'!$A$12:$A$202,0)))</f>
        <v>0, 3, 4, 5-8</v>
      </c>
      <c r="D9" s="181"/>
      <c r="E9" s="204">
        <v>0</v>
      </c>
    </row>
    <row r="10" spans="1:5" ht="20.100000000000001" customHeight="1" x14ac:dyDescent="0.2">
      <c r="A10" s="16" t="s">
        <v>536</v>
      </c>
      <c r="B10" s="196" t="str">
        <f>IFERROR(INDEX('Annex 1 LV, HV and UMS charges'!$B$13:$B$44,MATCH($A10,'Annex 1 LV, HV and UMS charges'!$A$13:$A$44,0)),IF(INDEX('Annex 4 LDNO charges'!$B$12:$B$202,MATCH($A10,'Annex 4 LDNO charges'!$A$12:$A$202,0))=0,"",INDEX('Annex 4 LDNO charges'!$B$12:$B$202,MATCH($A10,'Annex 4 LDNO charges'!$A$12:$A$202,0))))</f>
        <v>204, N04</v>
      </c>
      <c r="C10" s="197" t="str">
        <f>IFERROR(INDEX('Annex 1 LV, HV and UMS charges'!$C$13:$C$44,MATCH($A10,'Annex 1 LV, HV and UMS charges'!$A$13:$A$44,0)),INDEX('Annex 4 LDNO charges'!$C$12:$C$202,MATCH($A10,'Annex 4 LDNO charges'!$A$12:$A$202,0)))</f>
        <v>0, 3, 4, 5-8</v>
      </c>
      <c r="D10" s="181"/>
      <c r="E10" s="204">
        <v>0</v>
      </c>
    </row>
    <row r="11" spans="1:5" ht="20.100000000000001" customHeight="1" x14ac:dyDescent="0.2">
      <c r="A11" s="165" t="s">
        <v>404</v>
      </c>
      <c r="B11" s="196">
        <f>IFERROR(INDEX('Annex 1 LV, HV and UMS charges'!$B$13:$B$44,MATCH($A11,'Annex 1 LV, HV and UMS charges'!$A$13:$A$44,0)),IF(INDEX('Annex 4 LDNO charges'!$B$12:$B$202,MATCH($A11,'Annex 4 LDNO charges'!$A$12:$A$202,0))=0,"",INDEX('Annex 4 LDNO charges'!$B$12:$B$202,MATCH($A11,'Annex 4 LDNO charges'!$A$12:$A$202,0))))</f>
        <v>70</v>
      </c>
      <c r="C11" s="197">
        <f>IFERROR(INDEX('Annex 1 LV, HV and UMS charges'!$C$13:$C$44,MATCH($A11,'Annex 1 LV, HV and UMS charges'!$A$13:$A$44,0)),INDEX('Annex 4 LDNO charges'!$C$12:$C$202,MATCH($A11,'Annex 4 LDNO charges'!$A$12:$A$202,0)))</f>
        <v>0</v>
      </c>
      <c r="D11" s="181"/>
      <c r="E11" s="204">
        <v>0</v>
      </c>
    </row>
    <row r="12" spans="1:5" ht="20.100000000000001" customHeight="1" x14ac:dyDescent="0.2">
      <c r="A12" s="165" t="s">
        <v>405</v>
      </c>
      <c r="B12" s="196">
        <f>IFERROR(INDEX('Annex 1 LV, HV and UMS charges'!$B$13:$B$44,MATCH($A12,'Annex 1 LV, HV and UMS charges'!$A$13:$A$44,0)),IF(INDEX('Annex 4 LDNO charges'!$B$12:$B$202,MATCH($A12,'Annex 4 LDNO charges'!$A$12:$A$202,0))=0,"",INDEX('Annex 4 LDNO charges'!$B$12:$B$202,MATCH($A12,'Annex 4 LDNO charges'!$A$12:$A$202,0))))</f>
        <v>71</v>
      </c>
      <c r="C12" s="197">
        <f>IFERROR(INDEX('Annex 1 LV, HV and UMS charges'!$C$13:$C$44,MATCH($A12,'Annex 1 LV, HV and UMS charges'!$A$13:$A$44,0)),INDEX('Annex 4 LDNO charges'!$C$12:$C$202,MATCH($A12,'Annex 4 LDNO charges'!$A$12:$A$202,0)))</f>
        <v>0</v>
      </c>
      <c r="D12" s="181"/>
      <c r="E12" s="204">
        <v>0</v>
      </c>
    </row>
    <row r="13" spans="1:5" ht="20.100000000000001" customHeight="1" x14ac:dyDescent="0.2">
      <c r="A13" s="165" t="s">
        <v>406</v>
      </c>
      <c r="B13" s="196">
        <f>IFERROR(INDEX('Annex 1 LV, HV and UMS charges'!$B$13:$B$44,MATCH($A13,'Annex 1 LV, HV and UMS charges'!$A$13:$A$44,0)),IF(INDEX('Annex 4 LDNO charges'!$B$12:$B$202,MATCH($A13,'Annex 4 LDNO charges'!$A$12:$A$202,0))=0,"",INDEX('Annex 4 LDNO charges'!$B$12:$B$202,MATCH($A13,'Annex 4 LDNO charges'!$A$12:$A$202,0))))</f>
        <v>72</v>
      </c>
      <c r="C13" s="197">
        <f>IFERROR(INDEX('Annex 1 LV, HV and UMS charges'!$C$13:$C$44,MATCH($A13,'Annex 1 LV, HV and UMS charges'!$A$13:$A$44,0)),INDEX('Annex 4 LDNO charges'!$C$12:$C$202,MATCH($A13,'Annex 4 LDNO charges'!$A$12:$A$202,0)))</f>
        <v>0</v>
      </c>
      <c r="D13" s="181"/>
      <c r="E13" s="204">
        <v>0</v>
      </c>
    </row>
    <row r="14" spans="1:5" ht="20.100000000000001" customHeight="1" x14ac:dyDescent="0.2">
      <c r="A14" s="165" t="s">
        <v>407</v>
      </c>
      <c r="B14" s="196">
        <f>IFERROR(INDEX('Annex 1 LV, HV and UMS charges'!$B$13:$B$44,MATCH($A14,'Annex 1 LV, HV and UMS charges'!$A$13:$A$44,0)),IF(INDEX('Annex 4 LDNO charges'!$B$12:$B$202,MATCH($A14,'Annex 4 LDNO charges'!$A$12:$A$202,0))=0,"",INDEX('Annex 4 LDNO charges'!$B$12:$B$202,MATCH($A14,'Annex 4 LDNO charges'!$A$12:$A$202,0))))</f>
        <v>73</v>
      </c>
      <c r="C14" s="197">
        <f>IFERROR(INDEX('Annex 1 LV, HV and UMS charges'!$C$13:$C$44,MATCH($A14,'Annex 1 LV, HV and UMS charges'!$A$13:$A$44,0)),INDEX('Annex 4 LDNO charges'!$C$12:$C$202,MATCH($A14,'Annex 4 LDNO charges'!$A$12:$A$202,0)))</f>
        <v>0</v>
      </c>
      <c r="D14" s="181"/>
      <c r="E14" s="204">
        <v>0</v>
      </c>
    </row>
    <row r="15" spans="1:5" ht="20.100000000000001" customHeight="1" x14ac:dyDescent="0.2">
      <c r="A15" s="169" t="s">
        <v>408</v>
      </c>
      <c r="B15" s="196">
        <f>IFERROR(INDEX('Annex 1 LV, HV and UMS charges'!$B$13:$B$44,MATCH($A15,'Annex 1 LV, HV and UMS charges'!$A$13:$A$44,0)),IF(INDEX('Annex 4 LDNO charges'!$B$12:$B$202,MATCH($A15,'Annex 4 LDNO charges'!$A$12:$A$202,0))=0,"",INDEX('Annex 4 LDNO charges'!$B$12:$B$202,MATCH($A15,'Annex 4 LDNO charges'!$A$12:$A$202,0))))</f>
        <v>74</v>
      </c>
      <c r="C15" s="197">
        <f>IFERROR(INDEX('Annex 1 LV, HV and UMS charges'!$C$13:$C$44,MATCH($A15,'Annex 1 LV, HV and UMS charges'!$A$13:$A$44,0)),INDEX('Annex 4 LDNO charges'!$C$12:$C$202,MATCH($A15,'Annex 4 LDNO charges'!$A$12:$A$202,0)))</f>
        <v>0</v>
      </c>
      <c r="D15" s="181"/>
      <c r="E15" s="204">
        <v>0</v>
      </c>
    </row>
    <row r="16" spans="1:5" ht="20.100000000000001" customHeight="1" x14ac:dyDescent="0.2">
      <c r="A16" s="169" t="s">
        <v>409</v>
      </c>
      <c r="B16" s="196">
        <f>IFERROR(INDEX('Annex 1 LV, HV and UMS charges'!$B$13:$B$44,MATCH($A16,'Annex 1 LV, HV and UMS charges'!$A$13:$A$44,0)),IF(INDEX('Annex 4 LDNO charges'!$B$12:$B$202,MATCH($A16,'Annex 4 LDNO charges'!$A$12:$A$202,0))=0,"",INDEX('Annex 4 LDNO charges'!$B$12:$B$202,MATCH($A16,'Annex 4 LDNO charges'!$A$12:$A$202,0))))</f>
        <v>80</v>
      </c>
      <c r="C16" s="197">
        <f>IFERROR(INDEX('Annex 1 LV, HV and UMS charges'!$C$13:$C$44,MATCH($A16,'Annex 1 LV, HV and UMS charges'!$A$13:$A$44,0)),INDEX('Annex 4 LDNO charges'!$C$12:$C$202,MATCH($A16,'Annex 4 LDNO charges'!$A$12:$A$202,0)))</f>
        <v>0</v>
      </c>
      <c r="D16" s="181"/>
      <c r="E16" s="204">
        <v>0</v>
      </c>
    </row>
    <row r="17" spans="1:5" ht="20.100000000000001" customHeight="1" x14ac:dyDescent="0.2">
      <c r="A17" s="169" t="s">
        <v>410</v>
      </c>
      <c r="B17" s="196">
        <f>IFERROR(INDEX('Annex 1 LV, HV and UMS charges'!$B$13:$B$44,MATCH($A17,'Annex 1 LV, HV and UMS charges'!$A$13:$A$44,0)),IF(INDEX('Annex 4 LDNO charges'!$B$12:$B$202,MATCH($A17,'Annex 4 LDNO charges'!$A$12:$A$202,0))=0,"",INDEX('Annex 4 LDNO charges'!$B$12:$B$202,MATCH($A17,'Annex 4 LDNO charges'!$A$12:$A$202,0))))</f>
        <v>81</v>
      </c>
      <c r="C17" s="197">
        <f>IFERROR(INDEX('Annex 1 LV, HV and UMS charges'!$C$13:$C$44,MATCH($A17,'Annex 1 LV, HV and UMS charges'!$A$13:$A$44,0)),INDEX('Annex 4 LDNO charges'!$C$12:$C$202,MATCH($A17,'Annex 4 LDNO charges'!$A$12:$A$202,0)))</f>
        <v>0</v>
      </c>
      <c r="D17" s="181"/>
      <c r="E17" s="204">
        <v>0</v>
      </c>
    </row>
    <row r="18" spans="1:5" ht="20.100000000000001" customHeight="1" x14ac:dyDescent="0.2">
      <c r="A18" s="169" t="s">
        <v>411</v>
      </c>
      <c r="B18" s="196">
        <f>IFERROR(INDEX('Annex 1 LV, HV and UMS charges'!$B$13:$B$44,MATCH($A18,'Annex 1 LV, HV and UMS charges'!$A$13:$A$44,0)),IF(INDEX('Annex 4 LDNO charges'!$B$12:$B$202,MATCH($A18,'Annex 4 LDNO charges'!$A$12:$A$202,0))=0,"",INDEX('Annex 4 LDNO charges'!$B$12:$B$202,MATCH($A18,'Annex 4 LDNO charges'!$A$12:$A$202,0))))</f>
        <v>82</v>
      </c>
      <c r="C18" s="197">
        <f>IFERROR(INDEX('Annex 1 LV, HV and UMS charges'!$C$13:$C$44,MATCH($A18,'Annex 1 LV, HV and UMS charges'!$A$13:$A$44,0)),INDEX('Annex 4 LDNO charges'!$C$12:$C$202,MATCH($A18,'Annex 4 LDNO charges'!$A$12:$A$202,0)))</f>
        <v>0</v>
      </c>
      <c r="D18" s="181"/>
      <c r="E18" s="204">
        <v>0</v>
      </c>
    </row>
    <row r="19" spans="1:5" ht="20.100000000000001" customHeight="1" x14ac:dyDescent="0.2">
      <c r="A19" s="169" t="s">
        <v>412</v>
      </c>
      <c r="B19" s="196">
        <f>IFERROR(INDEX('Annex 1 LV, HV and UMS charges'!$B$13:$B$44,MATCH($A19,'Annex 1 LV, HV and UMS charges'!$A$13:$A$44,0)),IF(INDEX('Annex 4 LDNO charges'!$B$12:$B$202,MATCH($A19,'Annex 4 LDNO charges'!$A$12:$A$202,0))=0,"",INDEX('Annex 4 LDNO charges'!$B$12:$B$202,MATCH($A19,'Annex 4 LDNO charges'!$A$12:$A$202,0))))</f>
        <v>83</v>
      </c>
      <c r="C19" s="197">
        <f>IFERROR(INDEX('Annex 1 LV, HV and UMS charges'!$C$13:$C$44,MATCH($A19,'Annex 1 LV, HV and UMS charges'!$A$13:$A$44,0)),INDEX('Annex 4 LDNO charges'!$C$12:$C$202,MATCH($A19,'Annex 4 LDNO charges'!$A$12:$A$202,0)))</f>
        <v>0</v>
      </c>
      <c r="D19" s="181"/>
      <c r="E19" s="204">
        <v>0</v>
      </c>
    </row>
    <row r="20" spans="1:5" ht="20.100000000000001" customHeight="1" x14ac:dyDescent="0.2">
      <c r="A20" s="169" t="s">
        <v>413</v>
      </c>
      <c r="B20" s="196">
        <f>IFERROR(INDEX('Annex 1 LV, HV and UMS charges'!$B$13:$B$44,MATCH($A20,'Annex 1 LV, HV and UMS charges'!$A$13:$A$44,0)),IF(INDEX('Annex 4 LDNO charges'!$B$12:$B$202,MATCH($A20,'Annex 4 LDNO charges'!$A$12:$A$202,0))=0,"",INDEX('Annex 4 LDNO charges'!$B$12:$B$202,MATCH($A20,'Annex 4 LDNO charges'!$A$12:$A$202,0))))</f>
        <v>84</v>
      </c>
      <c r="C20" s="197">
        <f>IFERROR(INDEX('Annex 1 LV, HV and UMS charges'!$C$13:$C$44,MATCH($A20,'Annex 1 LV, HV and UMS charges'!$A$13:$A$44,0)),INDEX('Annex 4 LDNO charges'!$C$12:$C$202,MATCH($A20,'Annex 4 LDNO charges'!$A$12:$A$202,0)))</f>
        <v>0</v>
      </c>
      <c r="D20" s="181"/>
      <c r="E20" s="204">
        <v>0</v>
      </c>
    </row>
    <row r="21" spans="1:5" ht="20.100000000000001" customHeight="1" x14ac:dyDescent="0.2">
      <c r="A21" s="169" t="s">
        <v>414</v>
      </c>
      <c r="B21" s="196">
        <f>IFERROR(INDEX('Annex 1 LV, HV and UMS charges'!$B$13:$B$44,MATCH($A21,'Annex 1 LV, HV and UMS charges'!$A$13:$A$44,0)),IF(INDEX('Annex 4 LDNO charges'!$B$12:$B$202,MATCH($A21,'Annex 4 LDNO charges'!$A$12:$A$202,0))=0,"",INDEX('Annex 4 LDNO charges'!$B$12:$B$202,MATCH($A21,'Annex 4 LDNO charges'!$A$12:$A$202,0))))</f>
        <v>90</v>
      </c>
      <c r="C21" s="197">
        <f>IFERROR(INDEX('Annex 1 LV, HV and UMS charges'!$C$13:$C$44,MATCH($A21,'Annex 1 LV, HV and UMS charges'!$A$13:$A$44,0)),INDEX('Annex 4 LDNO charges'!$C$12:$C$202,MATCH($A21,'Annex 4 LDNO charges'!$A$12:$A$202,0)))</f>
        <v>0</v>
      </c>
      <c r="D21" s="181"/>
      <c r="E21" s="204">
        <v>0</v>
      </c>
    </row>
    <row r="22" spans="1:5" ht="20.100000000000001" customHeight="1" x14ac:dyDescent="0.2">
      <c r="A22" s="169" t="s">
        <v>415</v>
      </c>
      <c r="B22" s="196">
        <f>IFERROR(INDEX('Annex 1 LV, HV and UMS charges'!$B$13:$B$44,MATCH($A22,'Annex 1 LV, HV and UMS charges'!$A$13:$A$44,0)),IF(INDEX('Annex 4 LDNO charges'!$B$12:$B$202,MATCH($A22,'Annex 4 LDNO charges'!$A$12:$A$202,0))=0,"",INDEX('Annex 4 LDNO charges'!$B$12:$B$202,MATCH($A22,'Annex 4 LDNO charges'!$A$12:$A$202,0))))</f>
        <v>91</v>
      </c>
      <c r="C22" s="197">
        <f>IFERROR(INDEX('Annex 1 LV, HV and UMS charges'!$C$13:$C$44,MATCH($A22,'Annex 1 LV, HV and UMS charges'!$A$13:$A$44,0)),INDEX('Annex 4 LDNO charges'!$C$12:$C$202,MATCH($A22,'Annex 4 LDNO charges'!$A$12:$A$202,0)))</f>
        <v>0</v>
      </c>
      <c r="D22" s="181"/>
      <c r="E22" s="204">
        <v>0</v>
      </c>
    </row>
    <row r="23" spans="1:5" ht="20.100000000000001" customHeight="1" x14ac:dyDescent="0.2">
      <c r="A23" s="165" t="s">
        <v>416</v>
      </c>
      <c r="B23" s="196">
        <f>IFERROR(INDEX('Annex 1 LV, HV and UMS charges'!$B$13:$B$44,MATCH($A23,'Annex 1 LV, HV and UMS charges'!$A$13:$A$44,0)),IF(INDEX('Annex 4 LDNO charges'!$B$12:$B$202,MATCH($A23,'Annex 4 LDNO charges'!$A$12:$A$202,0))=0,"",INDEX('Annex 4 LDNO charges'!$B$12:$B$202,MATCH($A23,'Annex 4 LDNO charges'!$A$12:$A$202,0))))</f>
        <v>92</v>
      </c>
      <c r="C23" s="197">
        <f>IFERROR(INDEX('Annex 1 LV, HV and UMS charges'!$C$13:$C$44,MATCH($A23,'Annex 1 LV, HV and UMS charges'!$A$13:$A$44,0)),INDEX('Annex 4 LDNO charges'!$C$12:$C$202,MATCH($A23,'Annex 4 LDNO charges'!$A$12:$A$202,0)))</f>
        <v>0</v>
      </c>
      <c r="D23" s="181"/>
      <c r="E23" s="204">
        <v>0</v>
      </c>
    </row>
    <row r="24" spans="1:5" ht="20.100000000000001" customHeight="1" x14ac:dyDescent="0.2">
      <c r="A24" s="165" t="s">
        <v>417</v>
      </c>
      <c r="B24" s="196">
        <f>IFERROR(INDEX('Annex 1 LV, HV and UMS charges'!$B$13:$B$44,MATCH($A24,'Annex 1 LV, HV and UMS charges'!$A$13:$A$44,0)),IF(INDEX('Annex 4 LDNO charges'!$B$12:$B$202,MATCH($A24,'Annex 4 LDNO charges'!$A$12:$A$202,0))=0,"",INDEX('Annex 4 LDNO charges'!$B$12:$B$202,MATCH($A24,'Annex 4 LDNO charges'!$A$12:$A$202,0))))</f>
        <v>93</v>
      </c>
      <c r="C24" s="197">
        <f>IFERROR(INDEX('Annex 1 LV, HV and UMS charges'!$C$13:$C$44,MATCH($A24,'Annex 1 LV, HV and UMS charges'!$A$13:$A$44,0)),INDEX('Annex 4 LDNO charges'!$C$12:$C$202,MATCH($A24,'Annex 4 LDNO charges'!$A$12:$A$202,0)))</f>
        <v>0</v>
      </c>
      <c r="D24" s="181"/>
      <c r="E24" s="204">
        <v>0</v>
      </c>
    </row>
    <row r="25" spans="1:5" ht="20.100000000000001" customHeight="1" x14ac:dyDescent="0.2">
      <c r="A25" s="165" t="s">
        <v>418</v>
      </c>
      <c r="B25" s="196">
        <f>IFERROR(INDEX('Annex 1 LV, HV and UMS charges'!$B$13:$B$44,MATCH($A25,'Annex 1 LV, HV and UMS charges'!$A$13:$A$44,0)),IF(INDEX('Annex 4 LDNO charges'!$B$12:$B$202,MATCH($A25,'Annex 4 LDNO charges'!$A$12:$A$202,0))=0,"",INDEX('Annex 4 LDNO charges'!$B$12:$B$202,MATCH($A25,'Annex 4 LDNO charges'!$A$12:$A$202,0))))</f>
        <v>94</v>
      </c>
      <c r="C25" s="197">
        <f>IFERROR(INDEX('Annex 1 LV, HV and UMS charges'!$C$13:$C$44,MATCH($A25,'Annex 1 LV, HV and UMS charges'!$A$13:$A$44,0)),INDEX('Annex 4 LDNO charges'!$C$12:$C$202,MATCH($A25,'Annex 4 LDNO charges'!$A$12:$A$202,0)))</f>
        <v>0</v>
      </c>
      <c r="D25" s="181"/>
      <c r="E25" s="204">
        <v>0</v>
      </c>
    </row>
    <row r="26" spans="1:5" ht="20.100000000000001" customHeight="1" x14ac:dyDescent="0.2">
      <c r="A26" s="165" t="s">
        <v>537</v>
      </c>
      <c r="B26" s="196" t="str">
        <f>IFERROR(INDEX('Annex 1 LV, HV and UMS charges'!$B$13:$B$44,MATCH($A26,'Annex 1 LV, HV and UMS charges'!$A$13:$A$44,0)),IF(INDEX('Annex 4 LDNO charges'!$B$12:$B$202,MATCH($A26,'Annex 4 LDNO charges'!$A$12:$A$202,0))=0,"",INDEX('Annex 4 LDNO charges'!$B$12:$B$202,MATCH($A26,'Annex 4 LDNO charges'!$A$12:$A$202,0))))</f>
        <v>A00</v>
      </c>
      <c r="C26" s="197" t="str">
        <f>IFERROR(INDEX('Annex 1 LV, HV and UMS charges'!$C$13:$C$44,MATCH($A26,'Annex 1 LV, HV and UMS charges'!$A$13:$A$44,0)),INDEX('Annex 4 LDNO charges'!$C$12:$C$202,MATCH($A26,'Annex 4 LDNO charges'!$A$12:$A$202,0)))</f>
        <v>0, 1, 2</v>
      </c>
      <c r="D26" s="204">
        <v>0</v>
      </c>
      <c r="E26" s="204">
        <v>0</v>
      </c>
    </row>
    <row r="27" spans="1:5" ht="20.100000000000001" customHeight="1" x14ac:dyDescent="0.2">
      <c r="A27" s="165" t="s">
        <v>538</v>
      </c>
      <c r="B27" s="196" t="str">
        <f>IFERROR(INDEX('Annex 1 LV, HV and UMS charges'!$B$13:$B$44,MATCH($A27,'Annex 1 LV, HV and UMS charges'!$A$13:$A$44,0)),IF(INDEX('Annex 4 LDNO charges'!$B$12:$B$202,MATCH($A27,'Annex 4 LDNO charges'!$A$12:$A$202,0))=0,"",INDEX('Annex 4 LDNO charges'!$B$12:$B$202,MATCH($A27,'Annex 4 LDNO charges'!$A$12:$A$202,0))))</f>
        <v>C00</v>
      </c>
      <c r="C27" s="197" t="str">
        <f>IFERROR(INDEX('Annex 1 LV, HV and UMS charges'!$C$13:$C$44,MATCH($A27,'Annex 1 LV, HV and UMS charges'!$A$13:$A$44,0)),INDEX('Annex 4 LDNO charges'!$C$12:$C$202,MATCH($A27,'Annex 4 LDNO charges'!$A$12:$A$202,0)))</f>
        <v>0, 3, 4, 5-8</v>
      </c>
      <c r="D27" s="181"/>
      <c r="E27" s="204">
        <v>0</v>
      </c>
    </row>
    <row r="28" spans="1:5" ht="20.100000000000001" customHeight="1" x14ac:dyDescent="0.2">
      <c r="A28" s="165" t="s">
        <v>539</v>
      </c>
      <c r="B28" s="196" t="str">
        <f>IFERROR(INDEX('Annex 1 LV, HV and UMS charges'!$B$13:$B$44,MATCH($A28,'Annex 1 LV, HV and UMS charges'!$A$13:$A$44,0)),IF(INDEX('Annex 4 LDNO charges'!$B$12:$B$202,MATCH($A28,'Annex 4 LDNO charges'!$A$12:$A$202,0))=0,"",INDEX('Annex 4 LDNO charges'!$B$12:$B$202,MATCH($A28,'Annex 4 LDNO charges'!$A$12:$A$202,0))))</f>
        <v>C01</v>
      </c>
      <c r="C28" s="197" t="str">
        <f>IFERROR(INDEX('Annex 1 LV, HV and UMS charges'!$C$13:$C$44,MATCH($A28,'Annex 1 LV, HV and UMS charges'!$A$13:$A$44,0)),INDEX('Annex 4 LDNO charges'!$C$12:$C$202,MATCH($A28,'Annex 4 LDNO charges'!$A$12:$A$202,0)))</f>
        <v>0, 3, 4, 5-8</v>
      </c>
      <c r="D28" s="181"/>
      <c r="E28" s="204">
        <v>0</v>
      </c>
    </row>
    <row r="29" spans="1:5" ht="20.100000000000001" customHeight="1" x14ac:dyDescent="0.2">
      <c r="A29" s="165" t="s">
        <v>540</v>
      </c>
      <c r="B29" s="196" t="str">
        <f>IFERROR(INDEX('Annex 1 LV, HV and UMS charges'!$B$13:$B$44,MATCH($A29,'Annex 1 LV, HV and UMS charges'!$A$13:$A$44,0)),IF(INDEX('Annex 4 LDNO charges'!$B$12:$B$202,MATCH($A29,'Annex 4 LDNO charges'!$A$12:$A$202,0))=0,"",INDEX('Annex 4 LDNO charges'!$B$12:$B$202,MATCH($A29,'Annex 4 LDNO charges'!$A$12:$A$202,0))))</f>
        <v>C02</v>
      </c>
      <c r="C29" s="197" t="str">
        <f>IFERROR(INDEX('Annex 1 LV, HV and UMS charges'!$C$13:$C$44,MATCH($A29,'Annex 1 LV, HV and UMS charges'!$A$13:$A$44,0)),INDEX('Annex 4 LDNO charges'!$C$12:$C$202,MATCH($A29,'Annex 4 LDNO charges'!$A$12:$A$202,0)))</f>
        <v>0, 3, 4, 5-8</v>
      </c>
      <c r="D29" s="181"/>
      <c r="E29" s="204">
        <v>0</v>
      </c>
    </row>
    <row r="30" spans="1:5" ht="20.100000000000001" customHeight="1" x14ac:dyDescent="0.2">
      <c r="A30" s="165" t="s">
        <v>541</v>
      </c>
      <c r="B30" s="196" t="str">
        <f>IFERROR(INDEX('Annex 1 LV, HV and UMS charges'!$B$13:$B$44,MATCH($A30,'Annex 1 LV, HV and UMS charges'!$A$13:$A$44,0)),IF(INDEX('Annex 4 LDNO charges'!$B$12:$B$202,MATCH($A30,'Annex 4 LDNO charges'!$A$12:$A$202,0))=0,"",INDEX('Annex 4 LDNO charges'!$B$12:$B$202,MATCH($A30,'Annex 4 LDNO charges'!$A$12:$A$202,0))))</f>
        <v>C03</v>
      </c>
      <c r="C30" s="197" t="str">
        <f>IFERROR(INDEX('Annex 1 LV, HV and UMS charges'!$C$13:$C$44,MATCH($A30,'Annex 1 LV, HV and UMS charges'!$A$13:$A$44,0)),INDEX('Annex 4 LDNO charges'!$C$12:$C$202,MATCH($A30,'Annex 4 LDNO charges'!$A$12:$A$202,0)))</f>
        <v>0, 3, 4, 5-8</v>
      </c>
      <c r="D30" s="181"/>
      <c r="E30" s="204">
        <v>0</v>
      </c>
    </row>
    <row r="31" spans="1:5" ht="20.100000000000001" customHeight="1" x14ac:dyDescent="0.2">
      <c r="A31" s="165" t="s">
        <v>542</v>
      </c>
      <c r="B31" s="196" t="str">
        <f>IFERROR(INDEX('Annex 1 LV, HV and UMS charges'!$B$13:$B$44,MATCH($A31,'Annex 1 LV, HV and UMS charges'!$A$13:$A$44,0)),IF(INDEX('Annex 4 LDNO charges'!$B$12:$B$202,MATCH($A31,'Annex 4 LDNO charges'!$A$12:$A$202,0))=0,"",INDEX('Annex 4 LDNO charges'!$B$12:$B$202,MATCH($A31,'Annex 4 LDNO charges'!$A$12:$A$202,0))))</f>
        <v>C04</v>
      </c>
      <c r="C31" s="197" t="str">
        <f>IFERROR(INDEX('Annex 1 LV, HV and UMS charges'!$C$13:$C$44,MATCH($A31,'Annex 1 LV, HV and UMS charges'!$A$13:$A$44,0)),INDEX('Annex 4 LDNO charges'!$C$12:$C$202,MATCH($A31,'Annex 4 LDNO charges'!$A$12:$A$202,0)))</f>
        <v>0, 3, 4, 5-8</v>
      </c>
      <c r="D31" s="181"/>
      <c r="E31" s="204">
        <v>0</v>
      </c>
    </row>
    <row r="32" spans="1:5" ht="20.100000000000001" customHeight="1" x14ac:dyDescent="0.2">
      <c r="A32" s="165" t="s">
        <v>419</v>
      </c>
      <c r="B32" s="196" t="str">
        <f>IFERROR(INDEX('Annex 1 LV, HV and UMS charges'!$B$13:$B$44,MATCH($A32,'Annex 1 LV, HV and UMS charges'!$A$13:$A$44,0)),IF(INDEX('Annex 4 LDNO charges'!$B$12:$B$202,MATCH($A32,'Annex 4 LDNO charges'!$A$12:$A$202,0))=0,"",INDEX('Annex 4 LDNO charges'!$B$12:$B$202,MATCH($A32,'Annex 4 LDNO charges'!$A$12:$A$202,0))))</f>
        <v>E00</v>
      </c>
      <c r="C32" s="197">
        <f>IFERROR(INDEX('Annex 1 LV, HV and UMS charges'!$C$13:$C$44,MATCH($A32,'Annex 1 LV, HV and UMS charges'!$A$13:$A$44,0)),INDEX('Annex 4 LDNO charges'!$C$12:$C$202,MATCH($A32,'Annex 4 LDNO charges'!$A$12:$A$202,0)))</f>
        <v>0</v>
      </c>
      <c r="D32" s="181"/>
      <c r="E32" s="204">
        <v>0</v>
      </c>
    </row>
    <row r="33" spans="1:5" ht="20.100000000000001" customHeight="1" x14ac:dyDescent="0.2">
      <c r="A33" s="165" t="s">
        <v>420</v>
      </c>
      <c r="B33" s="196" t="str">
        <f>IFERROR(INDEX('Annex 1 LV, HV and UMS charges'!$B$13:$B$44,MATCH($A33,'Annex 1 LV, HV and UMS charges'!$A$13:$A$44,0)),IF(INDEX('Annex 4 LDNO charges'!$B$12:$B$202,MATCH($A33,'Annex 4 LDNO charges'!$A$12:$A$202,0))=0,"",INDEX('Annex 4 LDNO charges'!$B$12:$B$202,MATCH($A33,'Annex 4 LDNO charges'!$A$12:$A$202,0))))</f>
        <v>E01</v>
      </c>
      <c r="C33" s="197">
        <f>IFERROR(INDEX('Annex 1 LV, HV and UMS charges'!$C$13:$C$44,MATCH($A33,'Annex 1 LV, HV and UMS charges'!$A$13:$A$44,0)),INDEX('Annex 4 LDNO charges'!$C$12:$C$202,MATCH($A33,'Annex 4 LDNO charges'!$A$12:$A$202,0)))</f>
        <v>0</v>
      </c>
      <c r="D33" s="181"/>
      <c r="E33" s="204">
        <v>0</v>
      </c>
    </row>
    <row r="34" spans="1:5" ht="20.100000000000001" customHeight="1" x14ac:dyDescent="0.2">
      <c r="A34" s="165" t="s">
        <v>421</v>
      </c>
      <c r="B34" s="196" t="str">
        <f>IFERROR(INDEX('Annex 1 LV, HV and UMS charges'!$B$13:$B$44,MATCH($A34,'Annex 1 LV, HV and UMS charges'!$A$13:$A$44,0)),IF(INDEX('Annex 4 LDNO charges'!$B$12:$B$202,MATCH($A34,'Annex 4 LDNO charges'!$A$12:$A$202,0))=0,"",INDEX('Annex 4 LDNO charges'!$B$12:$B$202,MATCH($A34,'Annex 4 LDNO charges'!$A$12:$A$202,0))))</f>
        <v>E02</v>
      </c>
      <c r="C34" s="197">
        <f>IFERROR(INDEX('Annex 1 LV, HV and UMS charges'!$C$13:$C$44,MATCH($A34,'Annex 1 LV, HV and UMS charges'!$A$13:$A$44,0)),INDEX('Annex 4 LDNO charges'!$C$12:$C$202,MATCH($A34,'Annex 4 LDNO charges'!$A$12:$A$202,0)))</f>
        <v>0</v>
      </c>
      <c r="D34" s="181"/>
      <c r="E34" s="204">
        <v>0</v>
      </c>
    </row>
    <row r="35" spans="1:5" ht="20.100000000000001" customHeight="1" x14ac:dyDescent="0.2">
      <c r="A35" s="165" t="s">
        <v>422</v>
      </c>
      <c r="B35" s="196" t="str">
        <f>IFERROR(INDEX('Annex 1 LV, HV and UMS charges'!$B$13:$B$44,MATCH($A35,'Annex 1 LV, HV and UMS charges'!$A$13:$A$44,0)),IF(INDEX('Annex 4 LDNO charges'!$B$12:$B$202,MATCH($A35,'Annex 4 LDNO charges'!$A$12:$A$202,0))=0,"",INDEX('Annex 4 LDNO charges'!$B$12:$B$202,MATCH($A35,'Annex 4 LDNO charges'!$A$12:$A$202,0))))</f>
        <v>E03</v>
      </c>
      <c r="C35" s="197">
        <f>IFERROR(INDEX('Annex 1 LV, HV and UMS charges'!$C$13:$C$44,MATCH($A35,'Annex 1 LV, HV and UMS charges'!$A$13:$A$44,0)),INDEX('Annex 4 LDNO charges'!$C$12:$C$202,MATCH($A35,'Annex 4 LDNO charges'!$A$12:$A$202,0)))</f>
        <v>0</v>
      </c>
      <c r="D35" s="181"/>
      <c r="E35" s="204">
        <v>0</v>
      </c>
    </row>
    <row r="36" spans="1:5" ht="20.100000000000001" customHeight="1" x14ac:dyDescent="0.2">
      <c r="A36" s="165" t="s">
        <v>423</v>
      </c>
      <c r="B36" s="196" t="str">
        <f>IFERROR(INDEX('Annex 1 LV, HV and UMS charges'!$B$13:$B$44,MATCH($A36,'Annex 1 LV, HV and UMS charges'!$A$13:$A$44,0)),IF(INDEX('Annex 4 LDNO charges'!$B$12:$B$202,MATCH($A36,'Annex 4 LDNO charges'!$A$12:$A$202,0))=0,"",INDEX('Annex 4 LDNO charges'!$B$12:$B$202,MATCH($A36,'Annex 4 LDNO charges'!$A$12:$A$202,0))))</f>
        <v>E04</v>
      </c>
      <c r="C36" s="197">
        <f>IFERROR(INDEX('Annex 1 LV, HV and UMS charges'!$C$13:$C$44,MATCH($A36,'Annex 1 LV, HV and UMS charges'!$A$13:$A$44,0)),INDEX('Annex 4 LDNO charges'!$C$12:$C$202,MATCH($A36,'Annex 4 LDNO charges'!$A$12:$A$202,0)))</f>
        <v>0</v>
      </c>
      <c r="D36" s="181"/>
      <c r="E36" s="204">
        <v>0</v>
      </c>
    </row>
    <row r="37" spans="1:5" ht="20.100000000000001" customHeight="1" x14ac:dyDescent="0.2">
      <c r="A37" s="169" t="s">
        <v>543</v>
      </c>
      <c r="B37" s="196" t="str">
        <f>IFERROR(INDEX('Annex 1 LV, HV and UMS charges'!$B$13:$B$44,MATCH($A37,'Annex 1 LV, HV and UMS charges'!$A$13:$A$44,0)),IF(INDEX('Annex 4 LDNO charges'!$B$12:$B$202,MATCH($A37,'Annex 4 LDNO charges'!$A$12:$A$202,0))=0,"",INDEX('Annex 4 LDNO charges'!$B$12:$B$202,MATCH($A37,'Annex 4 LDNO charges'!$A$12:$A$202,0))))</f>
        <v>A10</v>
      </c>
      <c r="C37" s="197" t="str">
        <f>IFERROR(INDEX('Annex 1 LV, HV and UMS charges'!$C$13:$C$44,MATCH($A37,'Annex 1 LV, HV and UMS charges'!$A$13:$A$44,0)),INDEX('Annex 4 LDNO charges'!$C$12:$C$202,MATCH($A37,'Annex 4 LDNO charges'!$A$12:$A$202,0)))</f>
        <v>0, 1, 2</v>
      </c>
      <c r="D37" s="204">
        <v>0</v>
      </c>
      <c r="E37" s="204">
        <v>0</v>
      </c>
    </row>
    <row r="38" spans="1:5" ht="20.100000000000001" customHeight="1" x14ac:dyDescent="0.2">
      <c r="A38" s="165" t="s">
        <v>544</v>
      </c>
      <c r="B38" s="196" t="str">
        <f>IFERROR(INDEX('Annex 1 LV, HV and UMS charges'!$B$13:$B$44,MATCH($A38,'Annex 1 LV, HV and UMS charges'!$A$13:$A$44,0)),IF(INDEX('Annex 4 LDNO charges'!$B$12:$B$202,MATCH($A38,'Annex 4 LDNO charges'!$A$12:$A$202,0))=0,"",INDEX('Annex 4 LDNO charges'!$B$12:$B$202,MATCH($A38,'Annex 4 LDNO charges'!$A$12:$A$202,0))))</f>
        <v>C10</v>
      </c>
      <c r="C38" s="197" t="str">
        <f>IFERROR(INDEX('Annex 1 LV, HV and UMS charges'!$C$13:$C$44,MATCH($A38,'Annex 1 LV, HV and UMS charges'!$A$13:$A$44,0)),INDEX('Annex 4 LDNO charges'!$C$12:$C$202,MATCH($A38,'Annex 4 LDNO charges'!$A$12:$A$202,0)))</f>
        <v>0, 3, 4, 5-8</v>
      </c>
      <c r="D38" s="181"/>
      <c r="E38" s="204">
        <v>0</v>
      </c>
    </row>
    <row r="39" spans="1:5" ht="20.100000000000001" customHeight="1" x14ac:dyDescent="0.2">
      <c r="A39" s="165" t="s">
        <v>545</v>
      </c>
      <c r="B39" s="196" t="str">
        <f>IFERROR(INDEX('Annex 1 LV, HV and UMS charges'!$B$13:$B$44,MATCH($A39,'Annex 1 LV, HV and UMS charges'!$A$13:$A$44,0)),IF(INDEX('Annex 4 LDNO charges'!$B$12:$B$202,MATCH($A39,'Annex 4 LDNO charges'!$A$12:$A$202,0))=0,"",INDEX('Annex 4 LDNO charges'!$B$12:$B$202,MATCH($A39,'Annex 4 LDNO charges'!$A$12:$A$202,0))))</f>
        <v>C11</v>
      </c>
      <c r="C39" s="197" t="str">
        <f>IFERROR(INDEX('Annex 1 LV, HV and UMS charges'!$C$13:$C$44,MATCH($A39,'Annex 1 LV, HV and UMS charges'!$A$13:$A$44,0)),INDEX('Annex 4 LDNO charges'!$C$12:$C$202,MATCH($A39,'Annex 4 LDNO charges'!$A$12:$A$202,0)))</f>
        <v>0, 3, 4, 5-8</v>
      </c>
      <c r="D39" s="181"/>
      <c r="E39" s="204">
        <v>0</v>
      </c>
    </row>
    <row r="40" spans="1:5" ht="20.100000000000001" customHeight="1" x14ac:dyDescent="0.2">
      <c r="A40" s="165" t="s">
        <v>546</v>
      </c>
      <c r="B40" s="196" t="str">
        <f>IFERROR(INDEX('Annex 1 LV, HV and UMS charges'!$B$13:$B$44,MATCH($A40,'Annex 1 LV, HV and UMS charges'!$A$13:$A$44,0)),IF(INDEX('Annex 4 LDNO charges'!$B$12:$B$202,MATCH($A40,'Annex 4 LDNO charges'!$A$12:$A$202,0))=0,"",INDEX('Annex 4 LDNO charges'!$B$12:$B$202,MATCH($A40,'Annex 4 LDNO charges'!$A$12:$A$202,0))))</f>
        <v>C12</v>
      </c>
      <c r="C40" s="197" t="str">
        <f>IFERROR(INDEX('Annex 1 LV, HV and UMS charges'!$C$13:$C$44,MATCH($A40,'Annex 1 LV, HV and UMS charges'!$A$13:$A$44,0)),INDEX('Annex 4 LDNO charges'!$C$12:$C$202,MATCH($A40,'Annex 4 LDNO charges'!$A$12:$A$202,0)))</f>
        <v>0, 3, 4, 5-8</v>
      </c>
      <c r="D40" s="181"/>
      <c r="E40" s="204">
        <v>0</v>
      </c>
    </row>
    <row r="41" spans="1:5" ht="20.100000000000001" customHeight="1" x14ac:dyDescent="0.2">
      <c r="A41" s="165" t="s">
        <v>547</v>
      </c>
      <c r="B41" s="196" t="str">
        <f>IFERROR(INDEX('Annex 1 LV, HV and UMS charges'!$B$13:$B$44,MATCH($A41,'Annex 1 LV, HV and UMS charges'!$A$13:$A$44,0)),IF(INDEX('Annex 4 LDNO charges'!$B$12:$B$202,MATCH($A41,'Annex 4 LDNO charges'!$A$12:$A$202,0))=0,"",INDEX('Annex 4 LDNO charges'!$B$12:$B$202,MATCH($A41,'Annex 4 LDNO charges'!$A$12:$A$202,0))))</f>
        <v>C13</v>
      </c>
      <c r="C41" s="197" t="str">
        <f>IFERROR(INDEX('Annex 1 LV, HV and UMS charges'!$C$13:$C$44,MATCH($A41,'Annex 1 LV, HV and UMS charges'!$A$13:$A$44,0)),INDEX('Annex 4 LDNO charges'!$C$12:$C$202,MATCH($A41,'Annex 4 LDNO charges'!$A$12:$A$202,0)))</f>
        <v>0, 3, 4, 5-8</v>
      </c>
      <c r="D41" s="181"/>
      <c r="E41" s="204">
        <v>0</v>
      </c>
    </row>
    <row r="42" spans="1:5" ht="20.100000000000001" customHeight="1" x14ac:dyDescent="0.2">
      <c r="A42" s="165" t="s">
        <v>548</v>
      </c>
      <c r="B42" s="196" t="str">
        <f>IFERROR(INDEX('Annex 1 LV, HV and UMS charges'!$B$13:$B$44,MATCH($A42,'Annex 1 LV, HV and UMS charges'!$A$13:$A$44,0)),IF(INDEX('Annex 4 LDNO charges'!$B$12:$B$202,MATCH($A42,'Annex 4 LDNO charges'!$A$12:$A$202,0))=0,"",INDEX('Annex 4 LDNO charges'!$B$12:$B$202,MATCH($A42,'Annex 4 LDNO charges'!$A$12:$A$202,0))))</f>
        <v>C14</v>
      </c>
      <c r="C42" s="197" t="str">
        <f>IFERROR(INDEX('Annex 1 LV, HV and UMS charges'!$C$13:$C$44,MATCH($A42,'Annex 1 LV, HV and UMS charges'!$A$13:$A$44,0)),INDEX('Annex 4 LDNO charges'!$C$12:$C$202,MATCH($A42,'Annex 4 LDNO charges'!$A$12:$A$202,0)))</f>
        <v>0, 3, 4, 5-8</v>
      </c>
      <c r="D42" s="181"/>
      <c r="E42" s="204">
        <v>0</v>
      </c>
    </row>
    <row r="43" spans="1:5" ht="20.100000000000001" customHeight="1" x14ac:dyDescent="0.2">
      <c r="A43" s="165" t="s">
        <v>424</v>
      </c>
      <c r="B43" s="196" t="str">
        <f>IFERROR(INDEX('Annex 1 LV, HV and UMS charges'!$B$13:$B$44,MATCH($A43,'Annex 1 LV, HV and UMS charges'!$A$13:$A$44,0)),IF(INDEX('Annex 4 LDNO charges'!$B$12:$B$202,MATCH($A43,'Annex 4 LDNO charges'!$A$12:$A$202,0))=0,"",INDEX('Annex 4 LDNO charges'!$B$12:$B$202,MATCH($A43,'Annex 4 LDNO charges'!$A$12:$A$202,0))))</f>
        <v>E10</v>
      </c>
      <c r="C43" s="197">
        <f>IFERROR(INDEX('Annex 1 LV, HV and UMS charges'!$C$13:$C$44,MATCH($A43,'Annex 1 LV, HV and UMS charges'!$A$13:$A$44,0)),INDEX('Annex 4 LDNO charges'!$C$12:$C$202,MATCH($A43,'Annex 4 LDNO charges'!$A$12:$A$202,0)))</f>
        <v>0</v>
      </c>
      <c r="D43" s="181"/>
      <c r="E43" s="204">
        <v>0</v>
      </c>
    </row>
    <row r="44" spans="1:5" ht="20.100000000000001" customHeight="1" x14ac:dyDescent="0.2">
      <c r="A44" s="165" t="s">
        <v>425</v>
      </c>
      <c r="B44" s="196" t="str">
        <f>IFERROR(INDEX('Annex 1 LV, HV and UMS charges'!$B$13:$B$44,MATCH($A44,'Annex 1 LV, HV and UMS charges'!$A$13:$A$44,0)),IF(INDEX('Annex 4 LDNO charges'!$B$12:$B$202,MATCH($A44,'Annex 4 LDNO charges'!$A$12:$A$202,0))=0,"",INDEX('Annex 4 LDNO charges'!$B$12:$B$202,MATCH($A44,'Annex 4 LDNO charges'!$A$12:$A$202,0))))</f>
        <v>E11</v>
      </c>
      <c r="C44" s="197">
        <f>IFERROR(INDEX('Annex 1 LV, HV and UMS charges'!$C$13:$C$44,MATCH($A44,'Annex 1 LV, HV and UMS charges'!$A$13:$A$44,0)),INDEX('Annex 4 LDNO charges'!$C$12:$C$202,MATCH($A44,'Annex 4 LDNO charges'!$A$12:$A$202,0)))</f>
        <v>0</v>
      </c>
      <c r="D44" s="181"/>
      <c r="E44" s="204">
        <v>0</v>
      </c>
    </row>
    <row r="45" spans="1:5" ht="20.100000000000001" customHeight="1" x14ac:dyDescent="0.2">
      <c r="A45" s="165" t="s">
        <v>426</v>
      </c>
      <c r="B45" s="196" t="str">
        <f>IFERROR(INDEX('Annex 1 LV, HV and UMS charges'!$B$13:$B$44,MATCH($A45,'Annex 1 LV, HV and UMS charges'!$A$13:$A$44,0)),IF(INDEX('Annex 4 LDNO charges'!$B$12:$B$202,MATCH($A45,'Annex 4 LDNO charges'!$A$12:$A$202,0))=0,"",INDEX('Annex 4 LDNO charges'!$B$12:$B$202,MATCH($A45,'Annex 4 LDNO charges'!$A$12:$A$202,0))))</f>
        <v>E12</v>
      </c>
      <c r="C45" s="197">
        <f>IFERROR(INDEX('Annex 1 LV, HV and UMS charges'!$C$13:$C$44,MATCH($A45,'Annex 1 LV, HV and UMS charges'!$A$13:$A$44,0)),INDEX('Annex 4 LDNO charges'!$C$12:$C$202,MATCH($A45,'Annex 4 LDNO charges'!$A$12:$A$202,0)))</f>
        <v>0</v>
      </c>
      <c r="D45" s="181"/>
      <c r="E45" s="204">
        <v>0</v>
      </c>
    </row>
    <row r="46" spans="1:5" ht="20.100000000000001" customHeight="1" x14ac:dyDescent="0.2">
      <c r="A46" s="165" t="s">
        <v>427</v>
      </c>
      <c r="B46" s="196" t="str">
        <f>IFERROR(INDEX('Annex 1 LV, HV and UMS charges'!$B$13:$B$44,MATCH($A46,'Annex 1 LV, HV and UMS charges'!$A$13:$A$44,0)),IF(INDEX('Annex 4 LDNO charges'!$B$12:$B$202,MATCH($A46,'Annex 4 LDNO charges'!$A$12:$A$202,0))=0,"",INDEX('Annex 4 LDNO charges'!$B$12:$B$202,MATCH($A46,'Annex 4 LDNO charges'!$A$12:$A$202,0))))</f>
        <v>E13</v>
      </c>
      <c r="C46" s="197">
        <f>IFERROR(INDEX('Annex 1 LV, HV and UMS charges'!$C$13:$C$44,MATCH($A46,'Annex 1 LV, HV and UMS charges'!$A$13:$A$44,0)),INDEX('Annex 4 LDNO charges'!$C$12:$C$202,MATCH($A46,'Annex 4 LDNO charges'!$A$12:$A$202,0)))</f>
        <v>0</v>
      </c>
      <c r="D46" s="181"/>
      <c r="E46" s="204">
        <v>0</v>
      </c>
    </row>
    <row r="47" spans="1:5" ht="20.100000000000001" customHeight="1" x14ac:dyDescent="0.2">
      <c r="A47" s="165" t="s">
        <v>428</v>
      </c>
      <c r="B47" s="196" t="str">
        <f>IFERROR(INDEX('Annex 1 LV, HV and UMS charges'!$B$13:$B$44,MATCH($A47,'Annex 1 LV, HV and UMS charges'!$A$13:$A$44,0)),IF(INDEX('Annex 4 LDNO charges'!$B$12:$B$202,MATCH($A47,'Annex 4 LDNO charges'!$A$12:$A$202,0))=0,"",INDEX('Annex 4 LDNO charges'!$B$12:$B$202,MATCH($A47,'Annex 4 LDNO charges'!$A$12:$A$202,0))))</f>
        <v>E14</v>
      </c>
      <c r="C47" s="197">
        <f>IFERROR(INDEX('Annex 1 LV, HV and UMS charges'!$C$13:$C$44,MATCH($A47,'Annex 1 LV, HV and UMS charges'!$A$13:$A$44,0)),INDEX('Annex 4 LDNO charges'!$C$12:$C$202,MATCH($A47,'Annex 4 LDNO charges'!$A$12:$A$202,0)))</f>
        <v>0</v>
      </c>
      <c r="D47" s="181"/>
      <c r="E47" s="204">
        <v>0</v>
      </c>
    </row>
    <row r="48" spans="1:5" ht="20.100000000000001" customHeight="1" x14ac:dyDescent="0.2">
      <c r="A48" s="165" t="s">
        <v>429</v>
      </c>
      <c r="B48" s="196" t="str">
        <f>IFERROR(INDEX('Annex 1 LV, HV and UMS charges'!$B$13:$B$44,MATCH($A48,'Annex 1 LV, HV and UMS charges'!$A$13:$A$44,0)),IF(INDEX('Annex 4 LDNO charges'!$B$12:$B$202,MATCH($A48,'Annex 4 LDNO charges'!$A$12:$A$202,0))=0,"",INDEX('Annex 4 LDNO charges'!$B$12:$B$202,MATCH($A48,'Annex 4 LDNO charges'!$A$12:$A$202,0))))</f>
        <v>J10</v>
      </c>
      <c r="C48" s="197">
        <f>IFERROR(INDEX('Annex 1 LV, HV and UMS charges'!$C$13:$C$44,MATCH($A48,'Annex 1 LV, HV and UMS charges'!$A$13:$A$44,0)),INDEX('Annex 4 LDNO charges'!$C$12:$C$202,MATCH($A48,'Annex 4 LDNO charges'!$A$12:$A$202,0)))</f>
        <v>0</v>
      </c>
      <c r="D48" s="181"/>
      <c r="E48" s="204">
        <v>0</v>
      </c>
    </row>
    <row r="49" spans="1:5" ht="20.100000000000001" customHeight="1" x14ac:dyDescent="0.2">
      <c r="A49" s="165" t="s">
        <v>430</v>
      </c>
      <c r="B49" s="196" t="str">
        <f>IFERROR(INDEX('Annex 1 LV, HV and UMS charges'!$B$13:$B$44,MATCH($A49,'Annex 1 LV, HV and UMS charges'!$A$13:$A$44,0)),IF(INDEX('Annex 4 LDNO charges'!$B$12:$B$202,MATCH($A49,'Annex 4 LDNO charges'!$A$12:$A$202,0))=0,"",INDEX('Annex 4 LDNO charges'!$B$12:$B$202,MATCH($A49,'Annex 4 LDNO charges'!$A$12:$A$202,0))))</f>
        <v>J11</v>
      </c>
      <c r="C49" s="197">
        <f>IFERROR(INDEX('Annex 1 LV, HV and UMS charges'!$C$13:$C$44,MATCH($A49,'Annex 1 LV, HV and UMS charges'!$A$13:$A$44,0)),INDEX('Annex 4 LDNO charges'!$C$12:$C$202,MATCH($A49,'Annex 4 LDNO charges'!$A$12:$A$202,0)))</f>
        <v>0</v>
      </c>
      <c r="D49" s="181"/>
      <c r="E49" s="204">
        <v>0</v>
      </c>
    </row>
    <row r="50" spans="1:5" ht="20.100000000000001" customHeight="1" x14ac:dyDescent="0.2">
      <c r="A50" s="165" t="s">
        <v>431</v>
      </c>
      <c r="B50" s="196" t="str">
        <f>IFERROR(INDEX('Annex 1 LV, HV and UMS charges'!$B$13:$B$44,MATCH($A50,'Annex 1 LV, HV and UMS charges'!$A$13:$A$44,0)),IF(INDEX('Annex 4 LDNO charges'!$B$12:$B$202,MATCH($A50,'Annex 4 LDNO charges'!$A$12:$A$202,0))=0,"",INDEX('Annex 4 LDNO charges'!$B$12:$B$202,MATCH($A50,'Annex 4 LDNO charges'!$A$12:$A$202,0))))</f>
        <v>J12</v>
      </c>
      <c r="C50" s="197">
        <f>IFERROR(INDEX('Annex 1 LV, HV and UMS charges'!$C$13:$C$44,MATCH($A50,'Annex 1 LV, HV and UMS charges'!$A$13:$A$44,0)),INDEX('Annex 4 LDNO charges'!$C$12:$C$202,MATCH($A50,'Annex 4 LDNO charges'!$A$12:$A$202,0)))</f>
        <v>0</v>
      </c>
      <c r="D50" s="181"/>
      <c r="E50" s="204">
        <v>0</v>
      </c>
    </row>
    <row r="51" spans="1:5" ht="20.100000000000001" customHeight="1" x14ac:dyDescent="0.2">
      <c r="A51" s="165" t="s">
        <v>432</v>
      </c>
      <c r="B51" s="196" t="str">
        <f>IFERROR(INDEX('Annex 1 LV, HV and UMS charges'!$B$13:$B$44,MATCH($A51,'Annex 1 LV, HV and UMS charges'!$A$13:$A$44,0)),IF(INDEX('Annex 4 LDNO charges'!$B$12:$B$202,MATCH($A51,'Annex 4 LDNO charges'!$A$12:$A$202,0))=0,"",INDEX('Annex 4 LDNO charges'!$B$12:$B$202,MATCH($A51,'Annex 4 LDNO charges'!$A$12:$A$202,0))))</f>
        <v>J13</v>
      </c>
      <c r="C51" s="197">
        <f>IFERROR(INDEX('Annex 1 LV, HV and UMS charges'!$C$13:$C$44,MATCH($A51,'Annex 1 LV, HV and UMS charges'!$A$13:$A$44,0)),INDEX('Annex 4 LDNO charges'!$C$12:$C$202,MATCH($A51,'Annex 4 LDNO charges'!$A$12:$A$202,0)))</f>
        <v>0</v>
      </c>
      <c r="D51" s="181"/>
      <c r="E51" s="204">
        <v>0</v>
      </c>
    </row>
    <row r="52" spans="1:5" ht="20.100000000000001" customHeight="1" x14ac:dyDescent="0.2">
      <c r="A52" s="165" t="s">
        <v>433</v>
      </c>
      <c r="B52" s="196" t="str">
        <f>IFERROR(INDEX('Annex 1 LV, HV and UMS charges'!$B$13:$B$44,MATCH($A52,'Annex 1 LV, HV and UMS charges'!$A$13:$A$44,0)),IF(INDEX('Annex 4 LDNO charges'!$B$12:$B$202,MATCH($A52,'Annex 4 LDNO charges'!$A$12:$A$202,0))=0,"",INDEX('Annex 4 LDNO charges'!$B$12:$B$202,MATCH($A52,'Annex 4 LDNO charges'!$A$12:$A$202,0))))</f>
        <v>J14</v>
      </c>
      <c r="C52" s="197">
        <f>IFERROR(INDEX('Annex 1 LV, HV and UMS charges'!$C$13:$C$44,MATCH($A52,'Annex 1 LV, HV and UMS charges'!$A$13:$A$44,0)),INDEX('Annex 4 LDNO charges'!$C$12:$C$202,MATCH($A52,'Annex 4 LDNO charges'!$A$12:$A$202,0)))</f>
        <v>0</v>
      </c>
      <c r="D52" s="181"/>
      <c r="E52" s="204">
        <v>0</v>
      </c>
    </row>
    <row r="53" spans="1:5" ht="20.100000000000001" customHeight="1" x14ac:dyDescent="0.2">
      <c r="A53" s="165" t="s">
        <v>434</v>
      </c>
      <c r="B53" s="196" t="str">
        <f>IFERROR(INDEX('Annex 1 LV, HV and UMS charges'!$B$13:$B$44,MATCH($A53,'Annex 1 LV, HV and UMS charges'!$A$13:$A$44,0)),IF(INDEX('Annex 4 LDNO charges'!$B$12:$B$202,MATCH($A53,'Annex 4 LDNO charges'!$A$12:$A$202,0))=0,"",INDEX('Annex 4 LDNO charges'!$B$12:$B$202,MATCH($A53,'Annex 4 LDNO charges'!$A$12:$A$202,0))))</f>
        <v>K10</v>
      </c>
      <c r="C53" s="197">
        <f>IFERROR(INDEX('Annex 1 LV, HV and UMS charges'!$C$13:$C$44,MATCH($A53,'Annex 1 LV, HV and UMS charges'!$A$13:$A$44,0)),INDEX('Annex 4 LDNO charges'!$C$12:$C$202,MATCH($A53,'Annex 4 LDNO charges'!$A$12:$A$202,0)))</f>
        <v>0</v>
      </c>
      <c r="D53" s="181"/>
      <c r="E53" s="204">
        <v>0</v>
      </c>
    </row>
    <row r="54" spans="1:5" ht="20.100000000000001" customHeight="1" x14ac:dyDescent="0.2">
      <c r="A54" s="165" t="s">
        <v>435</v>
      </c>
      <c r="B54" s="196" t="str">
        <f>IFERROR(INDEX('Annex 1 LV, HV and UMS charges'!$B$13:$B$44,MATCH($A54,'Annex 1 LV, HV and UMS charges'!$A$13:$A$44,0)),IF(INDEX('Annex 4 LDNO charges'!$B$12:$B$202,MATCH($A54,'Annex 4 LDNO charges'!$A$12:$A$202,0))=0,"",INDEX('Annex 4 LDNO charges'!$B$12:$B$202,MATCH($A54,'Annex 4 LDNO charges'!$A$12:$A$202,0))))</f>
        <v>K11</v>
      </c>
      <c r="C54" s="197">
        <f>IFERROR(INDEX('Annex 1 LV, HV and UMS charges'!$C$13:$C$44,MATCH($A54,'Annex 1 LV, HV and UMS charges'!$A$13:$A$44,0)),INDEX('Annex 4 LDNO charges'!$C$12:$C$202,MATCH($A54,'Annex 4 LDNO charges'!$A$12:$A$202,0)))</f>
        <v>0</v>
      </c>
      <c r="D54" s="181"/>
      <c r="E54" s="204">
        <v>0</v>
      </c>
    </row>
    <row r="55" spans="1:5" ht="20.100000000000001" customHeight="1" x14ac:dyDescent="0.2">
      <c r="A55" s="165" t="s">
        <v>436</v>
      </c>
      <c r="B55" s="196" t="str">
        <f>IFERROR(INDEX('Annex 1 LV, HV and UMS charges'!$B$13:$B$44,MATCH($A55,'Annex 1 LV, HV and UMS charges'!$A$13:$A$44,0)),IF(INDEX('Annex 4 LDNO charges'!$B$12:$B$202,MATCH($A55,'Annex 4 LDNO charges'!$A$12:$A$202,0))=0,"",INDEX('Annex 4 LDNO charges'!$B$12:$B$202,MATCH($A55,'Annex 4 LDNO charges'!$A$12:$A$202,0))))</f>
        <v>K12</v>
      </c>
      <c r="C55" s="197">
        <f>IFERROR(INDEX('Annex 1 LV, HV and UMS charges'!$C$13:$C$44,MATCH($A55,'Annex 1 LV, HV and UMS charges'!$A$13:$A$44,0)),INDEX('Annex 4 LDNO charges'!$C$12:$C$202,MATCH($A55,'Annex 4 LDNO charges'!$A$12:$A$202,0)))</f>
        <v>0</v>
      </c>
      <c r="D55" s="181"/>
      <c r="E55" s="204">
        <v>0</v>
      </c>
    </row>
    <row r="56" spans="1:5" ht="20.100000000000001" customHeight="1" x14ac:dyDescent="0.2">
      <c r="A56" s="165" t="s">
        <v>437</v>
      </c>
      <c r="B56" s="196" t="str">
        <f>IFERROR(INDEX('Annex 1 LV, HV and UMS charges'!$B$13:$B$44,MATCH($A56,'Annex 1 LV, HV and UMS charges'!$A$13:$A$44,0)),IF(INDEX('Annex 4 LDNO charges'!$B$12:$B$202,MATCH($A56,'Annex 4 LDNO charges'!$A$12:$A$202,0))=0,"",INDEX('Annex 4 LDNO charges'!$B$12:$B$202,MATCH($A56,'Annex 4 LDNO charges'!$A$12:$A$202,0))))</f>
        <v>K13</v>
      </c>
      <c r="C56" s="197">
        <f>IFERROR(INDEX('Annex 1 LV, HV and UMS charges'!$C$13:$C$44,MATCH($A56,'Annex 1 LV, HV and UMS charges'!$A$13:$A$44,0)),INDEX('Annex 4 LDNO charges'!$C$12:$C$202,MATCH($A56,'Annex 4 LDNO charges'!$A$12:$A$202,0)))</f>
        <v>0</v>
      </c>
      <c r="D56" s="181"/>
      <c r="E56" s="204">
        <v>0</v>
      </c>
    </row>
    <row r="57" spans="1:5" ht="20.100000000000001" customHeight="1" x14ac:dyDescent="0.2">
      <c r="A57" s="165" t="s">
        <v>438</v>
      </c>
      <c r="B57" s="196" t="str">
        <f>IFERROR(INDEX('Annex 1 LV, HV and UMS charges'!$B$13:$B$44,MATCH($A57,'Annex 1 LV, HV and UMS charges'!$A$13:$A$44,0)),IF(INDEX('Annex 4 LDNO charges'!$B$12:$B$202,MATCH($A57,'Annex 4 LDNO charges'!$A$12:$A$202,0))=0,"",INDEX('Annex 4 LDNO charges'!$B$12:$B$202,MATCH($A57,'Annex 4 LDNO charges'!$A$12:$A$202,0))))</f>
        <v>K14</v>
      </c>
      <c r="C57" s="197">
        <f>IFERROR(INDEX('Annex 1 LV, HV and UMS charges'!$C$13:$C$44,MATCH($A57,'Annex 1 LV, HV and UMS charges'!$A$13:$A$44,0)),INDEX('Annex 4 LDNO charges'!$C$12:$C$202,MATCH($A57,'Annex 4 LDNO charges'!$A$12:$A$202,0)))</f>
        <v>0</v>
      </c>
      <c r="D57" s="181"/>
      <c r="E57" s="204">
        <v>0</v>
      </c>
    </row>
    <row r="58" spans="1:5" ht="20.100000000000001" customHeight="1" x14ac:dyDescent="0.2">
      <c r="A58" s="165" t="s">
        <v>549</v>
      </c>
      <c r="B58" s="196" t="str">
        <f>IFERROR(INDEX('Annex 1 LV, HV and UMS charges'!$B$13:$B$44,MATCH($A58,'Annex 1 LV, HV and UMS charges'!$A$13:$A$44,0)),IF(INDEX('Annex 4 LDNO charges'!$B$12:$B$202,MATCH($A58,'Annex 4 LDNO charges'!$A$12:$A$202,0))=0,"",INDEX('Annex 4 LDNO charges'!$B$12:$B$202,MATCH($A58,'Annex 4 LDNO charges'!$A$12:$A$202,0))))</f>
        <v>A20</v>
      </c>
      <c r="C58" s="197" t="str">
        <f>IFERROR(INDEX('Annex 1 LV, HV and UMS charges'!$C$13:$C$44,MATCH($A58,'Annex 1 LV, HV and UMS charges'!$A$13:$A$44,0)),INDEX('Annex 4 LDNO charges'!$C$12:$C$202,MATCH($A58,'Annex 4 LDNO charges'!$A$12:$A$202,0)))</f>
        <v>0, 1, 2</v>
      </c>
      <c r="D58" s="204">
        <v>0</v>
      </c>
      <c r="E58" s="204">
        <v>0</v>
      </c>
    </row>
    <row r="59" spans="1:5" ht="20.100000000000001" customHeight="1" x14ac:dyDescent="0.2">
      <c r="A59" s="165" t="s">
        <v>550</v>
      </c>
      <c r="B59" s="196" t="str">
        <f>IFERROR(INDEX('Annex 1 LV, HV and UMS charges'!$B$13:$B$44,MATCH($A59,'Annex 1 LV, HV and UMS charges'!$A$13:$A$44,0)),IF(INDEX('Annex 4 LDNO charges'!$B$12:$B$202,MATCH($A59,'Annex 4 LDNO charges'!$A$12:$A$202,0))=0,"",INDEX('Annex 4 LDNO charges'!$B$12:$B$202,MATCH($A59,'Annex 4 LDNO charges'!$A$12:$A$202,0))))</f>
        <v>C20</v>
      </c>
      <c r="C59" s="197" t="str">
        <f>IFERROR(INDEX('Annex 1 LV, HV and UMS charges'!$C$13:$C$44,MATCH($A59,'Annex 1 LV, HV and UMS charges'!$A$13:$A$44,0)),INDEX('Annex 4 LDNO charges'!$C$12:$C$202,MATCH($A59,'Annex 4 LDNO charges'!$A$12:$A$202,0)))</f>
        <v>0, 3, 4, 5-8</v>
      </c>
      <c r="D59" s="181"/>
      <c r="E59" s="204">
        <v>0</v>
      </c>
    </row>
    <row r="60" spans="1:5" ht="20.100000000000001" customHeight="1" x14ac:dyDescent="0.2">
      <c r="A60" s="165" t="s">
        <v>551</v>
      </c>
      <c r="B60" s="196" t="str">
        <f>IFERROR(INDEX('Annex 1 LV, HV and UMS charges'!$B$13:$B$44,MATCH($A60,'Annex 1 LV, HV and UMS charges'!$A$13:$A$44,0)),IF(INDEX('Annex 4 LDNO charges'!$B$12:$B$202,MATCH($A60,'Annex 4 LDNO charges'!$A$12:$A$202,0))=0,"",INDEX('Annex 4 LDNO charges'!$B$12:$B$202,MATCH($A60,'Annex 4 LDNO charges'!$A$12:$A$202,0))))</f>
        <v>C21</v>
      </c>
      <c r="C60" s="197" t="str">
        <f>IFERROR(INDEX('Annex 1 LV, HV and UMS charges'!$C$13:$C$44,MATCH($A60,'Annex 1 LV, HV and UMS charges'!$A$13:$A$44,0)),INDEX('Annex 4 LDNO charges'!$C$12:$C$202,MATCH($A60,'Annex 4 LDNO charges'!$A$12:$A$202,0)))</f>
        <v>0, 3, 4, 5-8</v>
      </c>
      <c r="D60" s="181"/>
      <c r="E60" s="204">
        <v>0</v>
      </c>
    </row>
    <row r="61" spans="1:5" ht="20.100000000000001" customHeight="1" x14ac:dyDescent="0.2">
      <c r="A61" s="165" t="s">
        <v>552</v>
      </c>
      <c r="B61" s="196" t="str">
        <f>IFERROR(INDEX('Annex 1 LV, HV and UMS charges'!$B$13:$B$44,MATCH($A61,'Annex 1 LV, HV and UMS charges'!$A$13:$A$44,0)),IF(INDEX('Annex 4 LDNO charges'!$B$12:$B$202,MATCH($A61,'Annex 4 LDNO charges'!$A$12:$A$202,0))=0,"",INDEX('Annex 4 LDNO charges'!$B$12:$B$202,MATCH($A61,'Annex 4 LDNO charges'!$A$12:$A$202,0))))</f>
        <v>C22</v>
      </c>
      <c r="C61" s="197" t="str">
        <f>IFERROR(INDEX('Annex 1 LV, HV and UMS charges'!$C$13:$C$44,MATCH($A61,'Annex 1 LV, HV and UMS charges'!$A$13:$A$44,0)),INDEX('Annex 4 LDNO charges'!$C$12:$C$202,MATCH($A61,'Annex 4 LDNO charges'!$A$12:$A$202,0)))</f>
        <v>0, 3, 4, 5-8</v>
      </c>
      <c r="D61" s="181"/>
      <c r="E61" s="204">
        <v>0</v>
      </c>
    </row>
    <row r="62" spans="1:5" ht="20.100000000000001" customHeight="1" x14ac:dyDescent="0.2">
      <c r="A62" s="165" t="s">
        <v>553</v>
      </c>
      <c r="B62" s="196" t="str">
        <f>IFERROR(INDEX('Annex 1 LV, HV and UMS charges'!$B$13:$B$44,MATCH($A62,'Annex 1 LV, HV and UMS charges'!$A$13:$A$44,0)),IF(INDEX('Annex 4 LDNO charges'!$B$12:$B$202,MATCH($A62,'Annex 4 LDNO charges'!$A$12:$A$202,0))=0,"",INDEX('Annex 4 LDNO charges'!$B$12:$B$202,MATCH($A62,'Annex 4 LDNO charges'!$A$12:$A$202,0))))</f>
        <v>C23</v>
      </c>
      <c r="C62" s="197" t="str">
        <f>IFERROR(INDEX('Annex 1 LV, HV and UMS charges'!$C$13:$C$44,MATCH($A62,'Annex 1 LV, HV and UMS charges'!$A$13:$A$44,0)),INDEX('Annex 4 LDNO charges'!$C$12:$C$202,MATCH($A62,'Annex 4 LDNO charges'!$A$12:$A$202,0)))</f>
        <v>0, 3, 4, 5-8</v>
      </c>
      <c r="D62" s="181"/>
      <c r="E62" s="204">
        <v>0</v>
      </c>
    </row>
    <row r="63" spans="1:5" ht="20.100000000000001" customHeight="1" x14ac:dyDescent="0.2">
      <c r="A63" s="165" t="s">
        <v>554</v>
      </c>
      <c r="B63" s="196" t="str">
        <f>IFERROR(INDEX('Annex 1 LV, HV and UMS charges'!$B$13:$B$44,MATCH($A63,'Annex 1 LV, HV and UMS charges'!$A$13:$A$44,0)),IF(INDEX('Annex 4 LDNO charges'!$B$12:$B$202,MATCH($A63,'Annex 4 LDNO charges'!$A$12:$A$202,0))=0,"",INDEX('Annex 4 LDNO charges'!$B$12:$B$202,MATCH($A63,'Annex 4 LDNO charges'!$A$12:$A$202,0))))</f>
        <v>C24</v>
      </c>
      <c r="C63" s="197" t="str">
        <f>IFERROR(INDEX('Annex 1 LV, HV and UMS charges'!$C$13:$C$44,MATCH($A63,'Annex 1 LV, HV and UMS charges'!$A$13:$A$44,0)),INDEX('Annex 4 LDNO charges'!$C$12:$C$202,MATCH($A63,'Annex 4 LDNO charges'!$A$12:$A$202,0)))</f>
        <v>0, 3, 4, 5-8</v>
      </c>
      <c r="D63" s="181"/>
      <c r="E63" s="204">
        <v>0</v>
      </c>
    </row>
    <row r="64" spans="1:5" ht="20.100000000000001" customHeight="1" x14ac:dyDescent="0.2">
      <c r="A64" s="165" t="s">
        <v>499</v>
      </c>
      <c r="B64" s="196" t="str">
        <f>IFERROR(INDEX('Annex 1 LV, HV and UMS charges'!$B$13:$B$44,MATCH($A64,'Annex 1 LV, HV and UMS charges'!$A$13:$A$44,0)),IF(INDEX('Annex 4 LDNO charges'!$B$12:$B$202,MATCH($A64,'Annex 4 LDNO charges'!$A$12:$A$202,0))=0,"",INDEX('Annex 4 LDNO charges'!$B$12:$B$202,MATCH($A64,'Annex 4 LDNO charges'!$A$12:$A$202,0))))</f>
        <v>E20</v>
      </c>
      <c r="C64" s="197">
        <f>IFERROR(INDEX('Annex 1 LV, HV and UMS charges'!$C$13:$C$44,MATCH($A64,'Annex 1 LV, HV and UMS charges'!$A$13:$A$44,0)),INDEX('Annex 4 LDNO charges'!$C$12:$C$202,MATCH($A64,'Annex 4 LDNO charges'!$A$12:$A$202,0)))</f>
        <v>0</v>
      </c>
      <c r="D64" s="181"/>
      <c r="E64" s="204">
        <v>0</v>
      </c>
    </row>
    <row r="65" spans="1:5" ht="20.100000000000001" customHeight="1" x14ac:dyDescent="0.2">
      <c r="A65" s="165" t="s">
        <v>500</v>
      </c>
      <c r="B65" s="196" t="str">
        <f>IFERROR(INDEX('Annex 1 LV, HV and UMS charges'!$B$13:$B$44,MATCH($A65,'Annex 1 LV, HV and UMS charges'!$A$13:$A$44,0)),IF(INDEX('Annex 4 LDNO charges'!$B$12:$B$202,MATCH($A65,'Annex 4 LDNO charges'!$A$12:$A$202,0))=0,"",INDEX('Annex 4 LDNO charges'!$B$12:$B$202,MATCH($A65,'Annex 4 LDNO charges'!$A$12:$A$202,0))))</f>
        <v>E21</v>
      </c>
      <c r="C65" s="197">
        <f>IFERROR(INDEX('Annex 1 LV, HV and UMS charges'!$C$13:$C$44,MATCH($A65,'Annex 1 LV, HV and UMS charges'!$A$13:$A$44,0)),INDEX('Annex 4 LDNO charges'!$C$12:$C$202,MATCH($A65,'Annex 4 LDNO charges'!$A$12:$A$202,0)))</f>
        <v>0</v>
      </c>
      <c r="D65" s="181"/>
      <c r="E65" s="204">
        <v>0</v>
      </c>
    </row>
    <row r="66" spans="1:5" ht="20.100000000000001" customHeight="1" x14ac:dyDescent="0.2">
      <c r="A66" s="165" t="s">
        <v>501</v>
      </c>
      <c r="B66" s="196" t="str">
        <f>IFERROR(INDEX('Annex 1 LV, HV and UMS charges'!$B$13:$B$44,MATCH($A66,'Annex 1 LV, HV and UMS charges'!$A$13:$A$44,0)),IF(INDEX('Annex 4 LDNO charges'!$B$12:$B$202,MATCH($A66,'Annex 4 LDNO charges'!$A$12:$A$202,0))=0,"",INDEX('Annex 4 LDNO charges'!$B$12:$B$202,MATCH($A66,'Annex 4 LDNO charges'!$A$12:$A$202,0))))</f>
        <v>E22</v>
      </c>
      <c r="C66" s="197">
        <f>IFERROR(INDEX('Annex 1 LV, HV and UMS charges'!$C$13:$C$44,MATCH($A66,'Annex 1 LV, HV and UMS charges'!$A$13:$A$44,0)),INDEX('Annex 4 LDNO charges'!$C$12:$C$202,MATCH($A66,'Annex 4 LDNO charges'!$A$12:$A$202,0)))</f>
        <v>0</v>
      </c>
      <c r="D66" s="181"/>
      <c r="E66" s="204">
        <v>0</v>
      </c>
    </row>
    <row r="67" spans="1:5" ht="20.100000000000001" customHeight="1" x14ac:dyDescent="0.2">
      <c r="A67" s="165" t="s">
        <v>502</v>
      </c>
      <c r="B67" s="196" t="str">
        <f>IFERROR(INDEX('Annex 1 LV, HV and UMS charges'!$B$13:$B$44,MATCH($A67,'Annex 1 LV, HV and UMS charges'!$A$13:$A$44,0)),IF(INDEX('Annex 4 LDNO charges'!$B$12:$B$202,MATCH($A67,'Annex 4 LDNO charges'!$A$12:$A$202,0))=0,"",INDEX('Annex 4 LDNO charges'!$B$12:$B$202,MATCH($A67,'Annex 4 LDNO charges'!$A$12:$A$202,0))))</f>
        <v>E23</v>
      </c>
      <c r="C67" s="197">
        <f>IFERROR(INDEX('Annex 1 LV, HV and UMS charges'!$C$13:$C$44,MATCH($A67,'Annex 1 LV, HV and UMS charges'!$A$13:$A$44,0)),INDEX('Annex 4 LDNO charges'!$C$12:$C$202,MATCH($A67,'Annex 4 LDNO charges'!$A$12:$A$202,0)))</f>
        <v>0</v>
      </c>
      <c r="D67" s="181"/>
      <c r="E67" s="204">
        <v>0</v>
      </c>
    </row>
    <row r="68" spans="1:5" ht="20.100000000000001" customHeight="1" x14ac:dyDescent="0.2">
      <c r="A68" s="165" t="s">
        <v>503</v>
      </c>
      <c r="B68" s="196" t="str">
        <f>IFERROR(INDEX('Annex 1 LV, HV and UMS charges'!$B$13:$B$44,MATCH($A68,'Annex 1 LV, HV and UMS charges'!$A$13:$A$44,0)),IF(INDEX('Annex 4 LDNO charges'!$B$12:$B$202,MATCH($A68,'Annex 4 LDNO charges'!$A$12:$A$202,0))=0,"",INDEX('Annex 4 LDNO charges'!$B$12:$B$202,MATCH($A68,'Annex 4 LDNO charges'!$A$12:$A$202,0))))</f>
        <v>E24</v>
      </c>
      <c r="C68" s="197">
        <f>IFERROR(INDEX('Annex 1 LV, HV and UMS charges'!$C$13:$C$44,MATCH($A68,'Annex 1 LV, HV and UMS charges'!$A$13:$A$44,0)),INDEX('Annex 4 LDNO charges'!$C$12:$C$202,MATCH($A68,'Annex 4 LDNO charges'!$A$12:$A$202,0)))</f>
        <v>0</v>
      </c>
      <c r="D68" s="181"/>
      <c r="E68" s="204">
        <v>0</v>
      </c>
    </row>
    <row r="69" spans="1:5" ht="20.100000000000001" customHeight="1" x14ac:dyDescent="0.2">
      <c r="A69" s="165" t="s">
        <v>504</v>
      </c>
      <c r="B69" s="196" t="str">
        <f>IFERROR(INDEX('Annex 1 LV, HV and UMS charges'!$B$13:$B$44,MATCH($A69,'Annex 1 LV, HV and UMS charges'!$A$13:$A$44,0)),IF(INDEX('Annex 4 LDNO charges'!$B$12:$B$202,MATCH($A69,'Annex 4 LDNO charges'!$A$12:$A$202,0))=0,"",INDEX('Annex 4 LDNO charges'!$B$12:$B$202,MATCH($A69,'Annex 4 LDNO charges'!$A$12:$A$202,0))))</f>
        <v>J20</v>
      </c>
      <c r="C69" s="197">
        <f>IFERROR(INDEX('Annex 1 LV, HV and UMS charges'!$C$13:$C$44,MATCH($A69,'Annex 1 LV, HV and UMS charges'!$A$13:$A$44,0)),INDEX('Annex 4 LDNO charges'!$C$12:$C$202,MATCH($A69,'Annex 4 LDNO charges'!$A$12:$A$202,0)))</f>
        <v>0</v>
      </c>
      <c r="D69" s="181"/>
      <c r="E69" s="204">
        <v>0</v>
      </c>
    </row>
    <row r="70" spans="1:5" ht="20.100000000000001" customHeight="1" x14ac:dyDescent="0.2">
      <c r="A70" s="165" t="s">
        <v>505</v>
      </c>
      <c r="B70" s="196" t="str">
        <f>IFERROR(INDEX('Annex 1 LV, HV and UMS charges'!$B$13:$B$44,MATCH($A70,'Annex 1 LV, HV and UMS charges'!$A$13:$A$44,0)),IF(INDEX('Annex 4 LDNO charges'!$B$12:$B$202,MATCH($A70,'Annex 4 LDNO charges'!$A$12:$A$202,0))=0,"",INDEX('Annex 4 LDNO charges'!$B$12:$B$202,MATCH($A70,'Annex 4 LDNO charges'!$A$12:$A$202,0))))</f>
        <v>J21</v>
      </c>
      <c r="C70" s="197">
        <f>IFERROR(INDEX('Annex 1 LV, HV and UMS charges'!$C$13:$C$44,MATCH($A70,'Annex 1 LV, HV and UMS charges'!$A$13:$A$44,0)),INDEX('Annex 4 LDNO charges'!$C$12:$C$202,MATCH($A70,'Annex 4 LDNO charges'!$A$12:$A$202,0)))</f>
        <v>0</v>
      </c>
      <c r="D70" s="181"/>
      <c r="E70" s="204">
        <v>0</v>
      </c>
    </row>
    <row r="71" spans="1:5" ht="20.100000000000001" customHeight="1" x14ac:dyDescent="0.2">
      <c r="A71" s="165" t="s">
        <v>506</v>
      </c>
      <c r="B71" s="196" t="str">
        <f>IFERROR(INDEX('Annex 1 LV, HV and UMS charges'!$B$13:$B$44,MATCH($A71,'Annex 1 LV, HV and UMS charges'!$A$13:$A$44,0)),IF(INDEX('Annex 4 LDNO charges'!$B$12:$B$202,MATCH($A71,'Annex 4 LDNO charges'!$A$12:$A$202,0))=0,"",INDEX('Annex 4 LDNO charges'!$B$12:$B$202,MATCH($A71,'Annex 4 LDNO charges'!$A$12:$A$202,0))))</f>
        <v>J22</v>
      </c>
      <c r="C71" s="197">
        <f>IFERROR(INDEX('Annex 1 LV, HV and UMS charges'!$C$13:$C$44,MATCH($A71,'Annex 1 LV, HV and UMS charges'!$A$13:$A$44,0)),INDEX('Annex 4 LDNO charges'!$C$12:$C$202,MATCH($A71,'Annex 4 LDNO charges'!$A$12:$A$202,0)))</f>
        <v>0</v>
      </c>
      <c r="D71" s="181"/>
      <c r="E71" s="204">
        <v>0</v>
      </c>
    </row>
    <row r="72" spans="1:5" ht="20.100000000000001" customHeight="1" x14ac:dyDescent="0.2">
      <c r="A72" s="165" t="s">
        <v>507</v>
      </c>
      <c r="B72" s="196" t="str">
        <f>IFERROR(INDEX('Annex 1 LV, HV and UMS charges'!$B$13:$B$44,MATCH($A72,'Annex 1 LV, HV and UMS charges'!$A$13:$A$44,0)),IF(INDEX('Annex 4 LDNO charges'!$B$12:$B$202,MATCH($A72,'Annex 4 LDNO charges'!$A$12:$A$202,0))=0,"",INDEX('Annex 4 LDNO charges'!$B$12:$B$202,MATCH($A72,'Annex 4 LDNO charges'!$A$12:$A$202,0))))</f>
        <v>J23</v>
      </c>
      <c r="C72" s="197">
        <f>IFERROR(INDEX('Annex 1 LV, HV and UMS charges'!$C$13:$C$44,MATCH($A72,'Annex 1 LV, HV and UMS charges'!$A$13:$A$44,0)),INDEX('Annex 4 LDNO charges'!$C$12:$C$202,MATCH($A72,'Annex 4 LDNO charges'!$A$12:$A$202,0)))</f>
        <v>0</v>
      </c>
      <c r="D72" s="181"/>
      <c r="E72" s="204">
        <v>0</v>
      </c>
    </row>
    <row r="73" spans="1:5" ht="20.100000000000001" customHeight="1" x14ac:dyDescent="0.2">
      <c r="A73" s="165" t="s">
        <v>508</v>
      </c>
      <c r="B73" s="196" t="str">
        <f>IFERROR(INDEX('Annex 1 LV, HV and UMS charges'!$B$13:$B$44,MATCH($A73,'Annex 1 LV, HV and UMS charges'!$A$13:$A$44,0)),IF(INDEX('Annex 4 LDNO charges'!$B$12:$B$202,MATCH($A73,'Annex 4 LDNO charges'!$A$12:$A$202,0))=0,"",INDEX('Annex 4 LDNO charges'!$B$12:$B$202,MATCH($A73,'Annex 4 LDNO charges'!$A$12:$A$202,0))))</f>
        <v>J24</v>
      </c>
      <c r="C73" s="197">
        <f>IFERROR(INDEX('Annex 1 LV, HV and UMS charges'!$C$13:$C$44,MATCH($A73,'Annex 1 LV, HV and UMS charges'!$A$13:$A$44,0)),INDEX('Annex 4 LDNO charges'!$C$12:$C$202,MATCH($A73,'Annex 4 LDNO charges'!$A$12:$A$202,0)))</f>
        <v>0</v>
      </c>
      <c r="D73" s="181"/>
      <c r="E73" s="204">
        <v>0</v>
      </c>
    </row>
    <row r="74" spans="1:5" ht="20.100000000000001" customHeight="1" x14ac:dyDescent="0.2">
      <c r="A74" s="165" t="s">
        <v>509</v>
      </c>
      <c r="B74" s="196" t="str">
        <f>IFERROR(INDEX('Annex 1 LV, HV and UMS charges'!$B$13:$B$44,MATCH($A74,'Annex 1 LV, HV and UMS charges'!$A$13:$A$44,0)),IF(INDEX('Annex 4 LDNO charges'!$B$12:$B$202,MATCH($A74,'Annex 4 LDNO charges'!$A$12:$A$202,0))=0,"",INDEX('Annex 4 LDNO charges'!$B$12:$B$202,MATCH($A74,'Annex 4 LDNO charges'!$A$12:$A$202,0))))</f>
        <v>K20</v>
      </c>
      <c r="C74" s="197">
        <f>IFERROR(INDEX('Annex 1 LV, HV and UMS charges'!$C$13:$C$44,MATCH($A74,'Annex 1 LV, HV and UMS charges'!$A$13:$A$44,0)),INDEX('Annex 4 LDNO charges'!$C$12:$C$202,MATCH($A74,'Annex 4 LDNO charges'!$A$12:$A$202,0)))</f>
        <v>0</v>
      </c>
      <c r="D74" s="181"/>
      <c r="E74" s="204">
        <v>0</v>
      </c>
    </row>
    <row r="75" spans="1:5" ht="20.100000000000001" customHeight="1" x14ac:dyDescent="0.2">
      <c r="A75" s="165" t="s">
        <v>510</v>
      </c>
      <c r="B75" s="196" t="str">
        <f>IFERROR(INDEX('Annex 1 LV, HV and UMS charges'!$B$13:$B$44,MATCH($A75,'Annex 1 LV, HV and UMS charges'!$A$13:$A$44,0)),IF(INDEX('Annex 4 LDNO charges'!$B$12:$B$202,MATCH($A75,'Annex 4 LDNO charges'!$A$12:$A$202,0))=0,"",INDEX('Annex 4 LDNO charges'!$B$12:$B$202,MATCH($A75,'Annex 4 LDNO charges'!$A$12:$A$202,0))))</f>
        <v>K21</v>
      </c>
      <c r="C75" s="197">
        <f>IFERROR(INDEX('Annex 1 LV, HV and UMS charges'!$C$13:$C$44,MATCH($A75,'Annex 1 LV, HV and UMS charges'!$A$13:$A$44,0)),INDEX('Annex 4 LDNO charges'!$C$12:$C$202,MATCH($A75,'Annex 4 LDNO charges'!$A$12:$A$202,0)))</f>
        <v>0</v>
      </c>
      <c r="D75" s="181"/>
      <c r="E75" s="204">
        <v>0</v>
      </c>
    </row>
    <row r="76" spans="1:5" ht="20.100000000000001" customHeight="1" x14ac:dyDescent="0.2">
      <c r="A76" s="165" t="s">
        <v>511</v>
      </c>
      <c r="B76" s="196" t="str">
        <f>IFERROR(INDEX('Annex 1 LV, HV and UMS charges'!$B$13:$B$44,MATCH($A76,'Annex 1 LV, HV and UMS charges'!$A$13:$A$44,0)),IF(INDEX('Annex 4 LDNO charges'!$B$12:$B$202,MATCH($A76,'Annex 4 LDNO charges'!$A$12:$A$202,0))=0,"",INDEX('Annex 4 LDNO charges'!$B$12:$B$202,MATCH($A76,'Annex 4 LDNO charges'!$A$12:$A$202,0))))</f>
        <v>K22</v>
      </c>
      <c r="C76" s="197">
        <f>IFERROR(INDEX('Annex 1 LV, HV and UMS charges'!$C$13:$C$44,MATCH($A76,'Annex 1 LV, HV and UMS charges'!$A$13:$A$44,0)),INDEX('Annex 4 LDNO charges'!$C$12:$C$202,MATCH($A76,'Annex 4 LDNO charges'!$A$12:$A$202,0)))</f>
        <v>0</v>
      </c>
      <c r="D76" s="181"/>
      <c r="E76" s="204">
        <v>0</v>
      </c>
    </row>
    <row r="77" spans="1:5" ht="20.100000000000001" customHeight="1" x14ac:dyDescent="0.2">
      <c r="A77" s="165" t="s">
        <v>512</v>
      </c>
      <c r="B77" s="196" t="str">
        <f>IFERROR(INDEX('Annex 1 LV, HV and UMS charges'!$B$13:$B$44,MATCH($A77,'Annex 1 LV, HV and UMS charges'!$A$13:$A$44,0)),IF(INDEX('Annex 4 LDNO charges'!$B$12:$B$202,MATCH($A77,'Annex 4 LDNO charges'!$A$12:$A$202,0))=0,"",INDEX('Annex 4 LDNO charges'!$B$12:$B$202,MATCH($A77,'Annex 4 LDNO charges'!$A$12:$A$202,0))))</f>
        <v>K23</v>
      </c>
      <c r="C77" s="197">
        <f>IFERROR(INDEX('Annex 1 LV, HV and UMS charges'!$C$13:$C$44,MATCH($A77,'Annex 1 LV, HV and UMS charges'!$A$13:$A$44,0)),INDEX('Annex 4 LDNO charges'!$C$12:$C$202,MATCH($A77,'Annex 4 LDNO charges'!$A$12:$A$202,0)))</f>
        <v>0</v>
      </c>
      <c r="D77" s="181"/>
      <c r="E77" s="204">
        <v>0</v>
      </c>
    </row>
    <row r="78" spans="1:5" ht="20.100000000000001" customHeight="1" x14ac:dyDescent="0.2">
      <c r="A78" s="165" t="s">
        <v>513</v>
      </c>
      <c r="B78" s="196" t="str">
        <f>IFERROR(INDEX('Annex 1 LV, HV and UMS charges'!$B$13:$B$44,MATCH($A78,'Annex 1 LV, HV and UMS charges'!$A$13:$A$44,0)),IF(INDEX('Annex 4 LDNO charges'!$B$12:$B$202,MATCH($A78,'Annex 4 LDNO charges'!$A$12:$A$202,0))=0,"",INDEX('Annex 4 LDNO charges'!$B$12:$B$202,MATCH($A78,'Annex 4 LDNO charges'!$A$12:$A$202,0))))</f>
        <v>K24</v>
      </c>
      <c r="C78" s="197">
        <f>IFERROR(INDEX('Annex 1 LV, HV and UMS charges'!$C$13:$C$44,MATCH($A78,'Annex 1 LV, HV and UMS charges'!$A$13:$A$44,0)),INDEX('Annex 4 LDNO charges'!$C$12:$C$202,MATCH($A78,'Annex 4 LDNO charges'!$A$12:$A$202,0)))</f>
        <v>0</v>
      </c>
      <c r="D78" s="181"/>
      <c r="E78" s="204">
        <v>0</v>
      </c>
    </row>
    <row r="79" spans="1:5" ht="20.100000000000001" customHeight="1" x14ac:dyDescent="0.2">
      <c r="A79" s="165" t="s">
        <v>555</v>
      </c>
      <c r="B79" s="196" t="str">
        <f>IFERROR(INDEX('Annex 1 LV, HV and UMS charges'!$B$13:$B$44,MATCH($A79,'Annex 1 LV, HV and UMS charges'!$A$13:$A$44,0)),IF(INDEX('Annex 4 LDNO charges'!$B$12:$B$202,MATCH($A79,'Annex 4 LDNO charges'!$A$12:$A$202,0))=0,"",INDEX('Annex 4 LDNO charges'!$B$12:$B$202,MATCH($A79,'Annex 4 LDNO charges'!$A$12:$A$202,0))))</f>
        <v>A30</v>
      </c>
      <c r="C79" s="197" t="str">
        <f>IFERROR(INDEX('Annex 1 LV, HV and UMS charges'!$C$13:$C$44,MATCH($A79,'Annex 1 LV, HV and UMS charges'!$A$13:$A$44,0)),INDEX('Annex 4 LDNO charges'!$C$12:$C$202,MATCH($A79,'Annex 4 LDNO charges'!$A$12:$A$202,0)))</f>
        <v>0, 1, 2</v>
      </c>
      <c r="D79" s="204">
        <v>0</v>
      </c>
      <c r="E79" s="204">
        <v>0</v>
      </c>
    </row>
    <row r="80" spans="1:5" ht="20.100000000000001" customHeight="1" x14ac:dyDescent="0.2">
      <c r="A80" s="165" t="s">
        <v>556</v>
      </c>
      <c r="B80" s="196" t="str">
        <f>IFERROR(INDEX('Annex 1 LV, HV and UMS charges'!$B$13:$B$44,MATCH($A80,'Annex 1 LV, HV and UMS charges'!$A$13:$A$44,0)),IF(INDEX('Annex 4 LDNO charges'!$B$12:$B$202,MATCH($A80,'Annex 4 LDNO charges'!$A$12:$A$202,0))=0,"",INDEX('Annex 4 LDNO charges'!$B$12:$B$202,MATCH($A80,'Annex 4 LDNO charges'!$A$12:$A$202,0))))</f>
        <v>C30</v>
      </c>
      <c r="C80" s="197" t="str">
        <f>IFERROR(INDEX('Annex 1 LV, HV and UMS charges'!$C$13:$C$44,MATCH($A80,'Annex 1 LV, HV and UMS charges'!$A$13:$A$44,0)),INDEX('Annex 4 LDNO charges'!$C$12:$C$202,MATCH($A80,'Annex 4 LDNO charges'!$A$12:$A$202,0)))</f>
        <v>0, 3, 4, 5-8</v>
      </c>
      <c r="D80" s="181"/>
      <c r="E80" s="204">
        <v>0</v>
      </c>
    </row>
    <row r="81" spans="1:5" ht="20.100000000000001" customHeight="1" x14ac:dyDescent="0.2">
      <c r="A81" s="165" t="s">
        <v>557</v>
      </c>
      <c r="B81" s="196" t="str">
        <f>IFERROR(INDEX('Annex 1 LV, HV and UMS charges'!$B$13:$B$44,MATCH($A81,'Annex 1 LV, HV and UMS charges'!$A$13:$A$44,0)),IF(INDEX('Annex 4 LDNO charges'!$B$12:$B$202,MATCH($A81,'Annex 4 LDNO charges'!$A$12:$A$202,0))=0,"",INDEX('Annex 4 LDNO charges'!$B$12:$B$202,MATCH($A81,'Annex 4 LDNO charges'!$A$12:$A$202,0))))</f>
        <v>C31</v>
      </c>
      <c r="C81" s="197" t="str">
        <f>IFERROR(INDEX('Annex 1 LV, HV and UMS charges'!$C$13:$C$44,MATCH($A81,'Annex 1 LV, HV and UMS charges'!$A$13:$A$44,0)),INDEX('Annex 4 LDNO charges'!$C$12:$C$202,MATCH($A81,'Annex 4 LDNO charges'!$A$12:$A$202,0)))</f>
        <v>0, 3, 4, 5-8</v>
      </c>
      <c r="D81" s="181"/>
      <c r="E81" s="204">
        <v>0</v>
      </c>
    </row>
    <row r="82" spans="1:5" ht="20.100000000000001" customHeight="1" x14ac:dyDescent="0.2">
      <c r="A82" s="165" t="s">
        <v>558</v>
      </c>
      <c r="B82" s="196" t="str">
        <f>IFERROR(INDEX('Annex 1 LV, HV and UMS charges'!$B$13:$B$44,MATCH($A82,'Annex 1 LV, HV and UMS charges'!$A$13:$A$44,0)),IF(INDEX('Annex 4 LDNO charges'!$B$12:$B$202,MATCH($A82,'Annex 4 LDNO charges'!$A$12:$A$202,0))=0,"",INDEX('Annex 4 LDNO charges'!$B$12:$B$202,MATCH($A82,'Annex 4 LDNO charges'!$A$12:$A$202,0))))</f>
        <v>C32</v>
      </c>
      <c r="C82" s="197" t="str">
        <f>IFERROR(INDEX('Annex 1 LV, HV and UMS charges'!$C$13:$C$44,MATCH($A82,'Annex 1 LV, HV and UMS charges'!$A$13:$A$44,0)),INDEX('Annex 4 LDNO charges'!$C$12:$C$202,MATCH($A82,'Annex 4 LDNO charges'!$A$12:$A$202,0)))</f>
        <v>0, 3, 4, 5-8</v>
      </c>
      <c r="D82" s="181"/>
      <c r="E82" s="204">
        <v>0</v>
      </c>
    </row>
    <row r="83" spans="1:5" ht="20.100000000000001" customHeight="1" x14ac:dyDescent="0.2">
      <c r="A83" s="165" t="s">
        <v>559</v>
      </c>
      <c r="B83" s="196" t="str">
        <f>IFERROR(INDEX('Annex 1 LV, HV and UMS charges'!$B$13:$B$44,MATCH($A83,'Annex 1 LV, HV and UMS charges'!$A$13:$A$44,0)),IF(INDEX('Annex 4 LDNO charges'!$B$12:$B$202,MATCH($A83,'Annex 4 LDNO charges'!$A$12:$A$202,0))=0,"",INDEX('Annex 4 LDNO charges'!$B$12:$B$202,MATCH($A83,'Annex 4 LDNO charges'!$A$12:$A$202,0))))</f>
        <v>C33</v>
      </c>
      <c r="C83" s="197" t="str">
        <f>IFERROR(INDEX('Annex 1 LV, HV and UMS charges'!$C$13:$C$44,MATCH($A83,'Annex 1 LV, HV and UMS charges'!$A$13:$A$44,0)),INDEX('Annex 4 LDNO charges'!$C$12:$C$202,MATCH($A83,'Annex 4 LDNO charges'!$A$12:$A$202,0)))</f>
        <v>0, 3, 4, 5-8</v>
      </c>
      <c r="D83" s="181"/>
      <c r="E83" s="204">
        <v>0</v>
      </c>
    </row>
    <row r="84" spans="1:5" ht="20.100000000000001" customHeight="1" x14ac:dyDescent="0.2">
      <c r="A84" s="165" t="s">
        <v>560</v>
      </c>
      <c r="B84" s="196" t="str">
        <f>IFERROR(INDEX('Annex 1 LV, HV and UMS charges'!$B$13:$B$44,MATCH($A84,'Annex 1 LV, HV and UMS charges'!$A$13:$A$44,0)),IF(INDEX('Annex 4 LDNO charges'!$B$12:$B$202,MATCH($A84,'Annex 4 LDNO charges'!$A$12:$A$202,0))=0,"",INDEX('Annex 4 LDNO charges'!$B$12:$B$202,MATCH($A84,'Annex 4 LDNO charges'!$A$12:$A$202,0))))</f>
        <v>C34</v>
      </c>
      <c r="C84" s="197" t="str">
        <f>IFERROR(INDEX('Annex 1 LV, HV and UMS charges'!$C$13:$C$44,MATCH($A84,'Annex 1 LV, HV and UMS charges'!$A$13:$A$44,0)),INDEX('Annex 4 LDNO charges'!$C$12:$C$202,MATCH($A84,'Annex 4 LDNO charges'!$A$12:$A$202,0)))</f>
        <v>0, 3, 4, 5-8</v>
      </c>
      <c r="D84" s="181"/>
      <c r="E84" s="204">
        <v>0</v>
      </c>
    </row>
    <row r="85" spans="1:5" ht="20.100000000000001" customHeight="1" x14ac:dyDescent="0.2">
      <c r="A85" s="165" t="s">
        <v>484</v>
      </c>
      <c r="B85" s="196" t="str">
        <f>IFERROR(INDEX('Annex 1 LV, HV and UMS charges'!$B$13:$B$44,MATCH($A85,'Annex 1 LV, HV and UMS charges'!$A$13:$A$44,0)),IF(INDEX('Annex 4 LDNO charges'!$B$12:$B$202,MATCH($A85,'Annex 4 LDNO charges'!$A$12:$A$202,0))=0,"",INDEX('Annex 4 LDNO charges'!$B$12:$B$202,MATCH($A85,'Annex 4 LDNO charges'!$A$12:$A$202,0))))</f>
        <v>E30</v>
      </c>
      <c r="C85" s="197">
        <f>IFERROR(INDEX('Annex 1 LV, HV and UMS charges'!$C$13:$C$44,MATCH($A85,'Annex 1 LV, HV and UMS charges'!$A$13:$A$44,0)),INDEX('Annex 4 LDNO charges'!$C$12:$C$202,MATCH($A85,'Annex 4 LDNO charges'!$A$12:$A$202,0)))</f>
        <v>0</v>
      </c>
      <c r="D85" s="181"/>
      <c r="E85" s="204">
        <v>0</v>
      </c>
    </row>
    <row r="86" spans="1:5" ht="20.100000000000001" customHeight="1" x14ac:dyDescent="0.2">
      <c r="A86" s="165" t="s">
        <v>485</v>
      </c>
      <c r="B86" s="196" t="str">
        <f>IFERROR(INDEX('Annex 1 LV, HV and UMS charges'!$B$13:$B$44,MATCH($A86,'Annex 1 LV, HV and UMS charges'!$A$13:$A$44,0)),IF(INDEX('Annex 4 LDNO charges'!$B$12:$B$202,MATCH($A86,'Annex 4 LDNO charges'!$A$12:$A$202,0))=0,"",INDEX('Annex 4 LDNO charges'!$B$12:$B$202,MATCH($A86,'Annex 4 LDNO charges'!$A$12:$A$202,0))))</f>
        <v>E31</v>
      </c>
      <c r="C86" s="197">
        <f>IFERROR(INDEX('Annex 1 LV, HV and UMS charges'!$C$13:$C$44,MATCH($A86,'Annex 1 LV, HV and UMS charges'!$A$13:$A$44,0)),INDEX('Annex 4 LDNO charges'!$C$12:$C$202,MATCH($A86,'Annex 4 LDNO charges'!$A$12:$A$202,0)))</f>
        <v>0</v>
      </c>
      <c r="D86" s="181"/>
      <c r="E86" s="204">
        <v>0</v>
      </c>
    </row>
    <row r="87" spans="1:5" ht="20.100000000000001" customHeight="1" x14ac:dyDescent="0.2">
      <c r="A87" s="165" t="s">
        <v>486</v>
      </c>
      <c r="B87" s="196" t="str">
        <f>IFERROR(INDEX('Annex 1 LV, HV and UMS charges'!$B$13:$B$44,MATCH($A87,'Annex 1 LV, HV and UMS charges'!$A$13:$A$44,0)),IF(INDEX('Annex 4 LDNO charges'!$B$12:$B$202,MATCH($A87,'Annex 4 LDNO charges'!$A$12:$A$202,0))=0,"",INDEX('Annex 4 LDNO charges'!$B$12:$B$202,MATCH($A87,'Annex 4 LDNO charges'!$A$12:$A$202,0))))</f>
        <v>E32</v>
      </c>
      <c r="C87" s="197">
        <f>IFERROR(INDEX('Annex 1 LV, HV and UMS charges'!$C$13:$C$44,MATCH($A87,'Annex 1 LV, HV and UMS charges'!$A$13:$A$44,0)),INDEX('Annex 4 LDNO charges'!$C$12:$C$202,MATCH($A87,'Annex 4 LDNO charges'!$A$12:$A$202,0)))</f>
        <v>0</v>
      </c>
      <c r="D87" s="181"/>
      <c r="E87" s="204">
        <v>0</v>
      </c>
    </row>
    <row r="88" spans="1:5" ht="20.100000000000001" customHeight="1" x14ac:dyDescent="0.2">
      <c r="A88" s="165" t="s">
        <v>487</v>
      </c>
      <c r="B88" s="196" t="str">
        <f>IFERROR(INDEX('Annex 1 LV, HV and UMS charges'!$B$13:$B$44,MATCH($A88,'Annex 1 LV, HV and UMS charges'!$A$13:$A$44,0)),IF(INDEX('Annex 4 LDNO charges'!$B$12:$B$202,MATCH($A88,'Annex 4 LDNO charges'!$A$12:$A$202,0))=0,"",INDEX('Annex 4 LDNO charges'!$B$12:$B$202,MATCH($A88,'Annex 4 LDNO charges'!$A$12:$A$202,0))))</f>
        <v>E33</v>
      </c>
      <c r="C88" s="197">
        <f>IFERROR(INDEX('Annex 1 LV, HV and UMS charges'!$C$13:$C$44,MATCH($A88,'Annex 1 LV, HV and UMS charges'!$A$13:$A$44,0)),INDEX('Annex 4 LDNO charges'!$C$12:$C$202,MATCH($A88,'Annex 4 LDNO charges'!$A$12:$A$202,0)))</f>
        <v>0</v>
      </c>
      <c r="D88" s="181"/>
      <c r="E88" s="204">
        <v>0</v>
      </c>
    </row>
    <row r="89" spans="1:5" ht="20.100000000000001" customHeight="1" x14ac:dyDescent="0.2">
      <c r="A89" s="165" t="s">
        <v>488</v>
      </c>
      <c r="B89" s="196" t="str">
        <f>IFERROR(INDEX('Annex 1 LV, HV and UMS charges'!$B$13:$B$44,MATCH($A89,'Annex 1 LV, HV and UMS charges'!$A$13:$A$44,0)),IF(INDEX('Annex 4 LDNO charges'!$B$12:$B$202,MATCH($A89,'Annex 4 LDNO charges'!$A$12:$A$202,0))=0,"",INDEX('Annex 4 LDNO charges'!$B$12:$B$202,MATCH($A89,'Annex 4 LDNO charges'!$A$12:$A$202,0))))</f>
        <v>E34</v>
      </c>
      <c r="C89" s="197">
        <f>IFERROR(INDEX('Annex 1 LV, HV and UMS charges'!$C$13:$C$44,MATCH($A89,'Annex 1 LV, HV and UMS charges'!$A$13:$A$44,0)),INDEX('Annex 4 LDNO charges'!$C$12:$C$202,MATCH($A89,'Annex 4 LDNO charges'!$A$12:$A$202,0)))</f>
        <v>0</v>
      </c>
      <c r="D89" s="181"/>
      <c r="E89" s="204">
        <v>0</v>
      </c>
    </row>
    <row r="90" spans="1:5" ht="20.100000000000001" customHeight="1" x14ac:dyDescent="0.2">
      <c r="A90" s="165" t="s">
        <v>489</v>
      </c>
      <c r="B90" s="196" t="str">
        <f>IFERROR(INDEX('Annex 1 LV, HV and UMS charges'!$B$13:$B$44,MATCH($A90,'Annex 1 LV, HV and UMS charges'!$A$13:$A$44,0)),IF(INDEX('Annex 4 LDNO charges'!$B$12:$B$202,MATCH($A90,'Annex 4 LDNO charges'!$A$12:$A$202,0))=0,"",INDEX('Annex 4 LDNO charges'!$B$12:$B$202,MATCH($A90,'Annex 4 LDNO charges'!$A$12:$A$202,0))))</f>
        <v>J30</v>
      </c>
      <c r="C90" s="197">
        <f>IFERROR(INDEX('Annex 1 LV, HV and UMS charges'!$C$13:$C$44,MATCH($A90,'Annex 1 LV, HV and UMS charges'!$A$13:$A$44,0)),INDEX('Annex 4 LDNO charges'!$C$12:$C$202,MATCH($A90,'Annex 4 LDNO charges'!$A$12:$A$202,0)))</f>
        <v>0</v>
      </c>
      <c r="D90" s="181"/>
      <c r="E90" s="204">
        <v>0</v>
      </c>
    </row>
    <row r="91" spans="1:5" ht="20.100000000000001" customHeight="1" x14ac:dyDescent="0.2">
      <c r="A91" s="165" t="s">
        <v>490</v>
      </c>
      <c r="B91" s="196" t="str">
        <f>IFERROR(INDEX('Annex 1 LV, HV and UMS charges'!$B$13:$B$44,MATCH($A91,'Annex 1 LV, HV and UMS charges'!$A$13:$A$44,0)),IF(INDEX('Annex 4 LDNO charges'!$B$12:$B$202,MATCH($A91,'Annex 4 LDNO charges'!$A$12:$A$202,0))=0,"",INDEX('Annex 4 LDNO charges'!$B$12:$B$202,MATCH($A91,'Annex 4 LDNO charges'!$A$12:$A$202,0))))</f>
        <v>J31</v>
      </c>
      <c r="C91" s="197">
        <f>IFERROR(INDEX('Annex 1 LV, HV and UMS charges'!$C$13:$C$44,MATCH($A91,'Annex 1 LV, HV and UMS charges'!$A$13:$A$44,0)),INDEX('Annex 4 LDNO charges'!$C$12:$C$202,MATCH($A91,'Annex 4 LDNO charges'!$A$12:$A$202,0)))</f>
        <v>0</v>
      </c>
      <c r="D91" s="181"/>
      <c r="E91" s="204">
        <v>0</v>
      </c>
    </row>
    <row r="92" spans="1:5" ht="20.100000000000001" customHeight="1" x14ac:dyDescent="0.2">
      <c r="A92" s="165" t="s">
        <v>491</v>
      </c>
      <c r="B92" s="196" t="str">
        <f>IFERROR(INDEX('Annex 1 LV, HV and UMS charges'!$B$13:$B$44,MATCH($A92,'Annex 1 LV, HV and UMS charges'!$A$13:$A$44,0)),IF(INDEX('Annex 4 LDNO charges'!$B$12:$B$202,MATCH($A92,'Annex 4 LDNO charges'!$A$12:$A$202,0))=0,"",INDEX('Annex 4 LDNO charges'!$B$12:$B$202,MATCH($A92,'Annex 4 LDNO charges'!$A$12:$A$202,0))))</f>
        <v>J32</v>
      </c>
      <c r="C92" s="197">
        <f>IFERROR(INDEX('Annex 1 LV, HV and UMS charges'!$C$13:$C$44,MATCH($A92,'Annex 1 LV, HV and UMS charges'!$A$13:$A$44,0)),INDEX('Annex 4 LDNO charges'!$C$12:$C$202,MATCH($A92,'Annex 4 LDNO charges'!$A$12:$A$202,0)))</f>
        <v>0</v>
      </c>
      <c r="D92" s="181"/>
      <c r="E92" s="204">
        <v>0</v>
      </c>
    </row>
    <row r="93" spans="1:5" ht="20.100000000000001" customHeight="1" x14ac:dyDescent="0.2">
      <c r="A93" s="165" t="s">
        <v>492</v>
      </c>
      <c r="B93" s="196" t="str">
        <f>IFERROR(INDEX('Annex 1 LV, HV and UMS charges'!$B$13:$B$44,MATCH($A93,'Annex 1 LV, HV and UMS charges'!$A$13:$A$44,0)),IF(INDEX('Annex 4 LDNO charges'!$B$12:$B$202,MATCH($A93,'Annex 4 LDNO charges'!$A$12:$A$202,0))=0,"",INDEX('Annex 4 LDNO charges'!$B$12:$B$202,MATCH($A93,'Annex 4 LDNO charges'!$A$12:$A$202,0))))</f>
        <v>J33</v>
      </c>
      <c r="C93" s="197">
        <f>IFERROR(INDEX('Annex 1 LV, HV and UMS charges'!$C$13:$C$44,MATCH($A93,'Annex 1 LV, HV and UMS charges'!$A$13:$A$44,0)),INDEX('Annex 4 LDNO charges'!$C$12:$C$202,MATCH($A93,'Annex 4 LDNO charges'!$A$12:$A$202,0)))</f>
        <v>0</v>
      </c>
      <c r="D93" s="181"/>
      <c r="E93" s="204">
        <v>0</v>
      </c>
    </row>
    <row r="94" spans="1:5" ht="20.100000000000001" customHeight="1" x14ac:dyDescent="0.2">
      <c r="A94" s="165" t="s">
        <v>493</v>
      </c>
      <c r="B94" s="196" t="str">
        <f>IFERROR(INDEX('Annex 1 LV, HV and UMS charges'!$B$13:$B$44,MATCH($A94,'Annex 1 LV, HV and UMS charges'!$A$13:$A$44,0)),IF(INDEX('Annex 4 LDNO charges'!$B$12:$B$202,MATCH($A94,'Annex 4 LDNO charges'!$A$12:$A$202,0))=0,"",INDEX('Annex 4 LDNO charges'!$B$12:$B$202,MATCH($A94,'Annex 4 LDNO charges'!$A$12:$A$202,0))))</f>
        <v>J34</v>
      </c>
      <c r="C94" s="197">
        <f>IFERROR(INDEX('Annex 1 LV, HV and UMS charges'!$C$13:$C$44,MATCH($A94,'Annex 1 LV, HV and UMS charges'!$A$13:$A$44,0)),INDEX('Annex 4 LDNO charges'!$C$12:$C$202,MATCH($A94,'Annex 4 LDNO charges'!$A$12:$A$202,0)))</f>
        <v>0</v>
      </c>
      <c r="D94" s="181"/>
      <c r="E94" s="204">
        <v>0</v>
      </c>
    </row>
    <row r="95" spans="1:5" ht="20.100000000000001" customHeight="1" x14ac:dyDescent="0.2">
      <c r="A95" s="165" t="s">
        <v>494</v>
      </c>
      <c r="B95" s="196" t="str">
        <f>IFERROR(INDEX('Annex 1 LV, HV and UMS charges'!$B$13:$B$44,MATCH($A95,'Annex 1 LV, HV and UMS charges'!$A$13:$A$44,0)),IF(INDEX('Annex 4 LDNO charges'!$B$12:$B$202,MATCH($A95,'Annex 4 LDNO charges'!$A$12:$A$202,0))=0,"",INDEX('Annex 4 LDNO charges'!$B$12:$B$202,MATCH($A95,'Annex 4 LDNO charges'!$A$12:$A$202,0))))</f>
        <v>K30</v>
      </c>
      <c r="C95" s="197">
        <f>IFERROR(INDEX('Annex 1 LV, HV and UMS charges'!$C$13:$C$44,MATCH($A95,'Annex 1 LV, HV and UMS charges'!$A$13:$A$44,0)),INDEX('Annex 4 LDNO charges'!$C$12:$C$202,MATCH($A95,'Annex 4 LDNO charges'!$A$12:$A$202,0)))</f>
        <v>0</v>
      </c>
      <c r="D95" s="181"/>
      <c r="E95" s="204">
        <v>0</v>
      </c>
    </row>
    <row r="96" spans="1:5" ht="20.100000000000001" customHeight="1" x14ac:dyDescent="0.2">
      <c r="A96" s="165" t="s">
        <v>495</v>
      </c>
      <c r="B96" s="196" t="str">
        <f>IFERROR(INDEX('Annex 1 LV, HV and UMS charges'!$B$13:$B$44,MATCH($A96,'Annex 1 LV, HV and UMS charges'!$A$13:$A$44,0)),IF(INDEX('Annex 4 LDNO charges'!$B$12:$B$202,MATCH($A96,'Annex 4 LDNO charges'!$A$12:$A$202,0))=0,"",INDEX('Annex 4 LDNO charges'!$B$12:$B$202,MATCH($A96,'Annex 4 LDNO charges'!$A$12:$A$202,0))))</f>
        <v>K31</v>
      </c>
      <c r="C96" s="197">
        <f>IFERROR(INDEX('Annex 1 LV, HV and UMS charges'!$C$13:$C$44,MATCH($A96,'Annex 1 LV, HV and UMS charges'!$A$13:$A$44,0)),INDEX('Annex 4 LDNO charges'!$C$12:$C$202,MATCH($A96,'Annex 4 LDNO charges'!$A$12:$A$202,0)))</f>
        <v>0</v>
      </c>
      <c r="D96" s="181"/>
      <c r="E96" s="204">
        <v>0</v>
      </c>
    </row>
    <row r="97" spans="1:5" ht="20.100000000000001" customHeight="1" x14ac:dyDescent="0.2">
      <c r="A97" s="165" t="s">
        <v>496</v>
      </c>
      <c r="B97" s="196" t="str">
        <f>IFERROR(INDEX('Annex 1 LV, HV and UMS charges'!$B$13:$B$44,MATCH($A97,'Annex 1 LV, HV and UMS charges'!$A$13:$A$44,0)),IF(INDEX('Annex 4 LDNO charges'!$B$12:$B$202,MATCH($A97,'Annex 4 LDNO charges'!$A$12:$A$202,0))=0,"",INDEX('Annex 4 LDNO charges'!$B$12:$B$202,MATCH($A97,'Annex 4 LDNO charges'!$A$12:$A$202,0))))</f>
        <v>K32</v>
      </c>
      <c r="C97" s="197">
        <f>IFERROR(INDEX('Annex 1 LV, HV and UMS charges'!$C$13:$C$44,MATCH($A97,'Annex 1 LV, HV and UMS charges'!$A$13:$A$44,0)),INDEX('Annex 4 LDNO charges'!$C$12:$C$202,MATCH($A97,'Annex 4 LDNO charges'!$A$12:$A$202,0)))</f>
        <v>0</v>
      </c>
      <c r="D97" s="181"/>
      <c r="E97" s="204">
        <v>0</v>
      </c>
    </row>
    <row r="98" spans="1:5" ht="20.100000000000001" customHeight="1" x14ac:dyDescent="0.2">
      <c r="A98" s="165" t="s">
        <v>497</v>
      </c>
      <c r="B98" s="196" t="str">
        <f>IFERROR(INDEX('Annex 1 LV, HV and UMS charges'!$B$13:$B$44,MATCH($A98,'Annex 1 LV, HV and UMS charges'!$A$13:$A$44,0)),IF(INDEX('Annex 4 LDNO charges'!$B$12:$B$202,MATCH($A98,'Annex 4 LDNO charges'!$A$12:$A$202,0))=0,"",INDEX('Annex 4 LDNO charges'!$B$12:$B$202,MATCH($A98,'Annex 4 LDNO charges'!$A$12:$A$202,0))))</f>
        <v>K33</v>
      </c>
      <c r="C98" s="197">
        <f>IFERROR(INDEX('Annex 1 LV, HV and UMS charges'!$C$13:$C$44,MATCH($A98,'Annex 1 LV, HV and UMS charges'!$A$13:$A$44,0)),INDEX('Annex 4 LDNO charges'!$C$12:$C$202,MATCH($A98,'Annex 4 LDNO charges'!$A$12:$A$202,0)))</f>
        <v>0</v>
      </c>
      <c r="D98" s="181"/>
      <c r="E98" s="204">
        <v>0</v>
      </c>
    </row>
    <row r="99" spans="1:5" ht="20.100000000000001" customHeight="1" x14ac:dyDescent="0.2">
      <c r="A99" s="165" t="s">
        <v>498</v>
      </c>
      <c r="B99" s="196" t="str">
        <f>IFERROR(INDEX('Annex 1 LV, HV and UMS charges'!$B$13:$B$44,MATCH($A99,'Annex 1 LV, HV and UMS charges'!$A$13:$A$44,0)),IF(INDEX('Annex 4 LDNO charges'!$B$12:$B$202,MATCH($A99,'Annex 4 LDNO charges'!$A$12:$A$202,0))=0,"",INDEX('Annex 4 LDNO charges'!$B$12:$B$202,MATCH($A99,'Annex 4 LDNO charges'!$A$12:$A$202,0))))</f>
        <v>K34</v>
      </c>
      <c r="C99" s="197">
        <f>IFERROR(INDEX('Annex 1 LV, HV and UMS charges'!$C$13:$C$44,MATCH($A99,'Annex 1 LV, HV and UMS charges'!$A$13:$A$44,0)),INDEX('Annex 4 LDNO charges'!$C$12:$C$202,MATCH($A99,'Annex 4 LDNO charges'!$A$12:$A$202,0)))</f>
        <v>0</v>
      </c>
      <c r="D99" s="181"/>
      <c r="E99" s="204">
        <v>0</v>
      </c>
    </row>
    <row r="100" spans="1:5" ht="20.100000000000001" customHeight="1" x14ac:dyDescent="0.2">
      <c r="A100" s="165" t="s">
        <v>561</v>
      </c>
      <c r="B100" s="196" t="str">
        <f>IFERROR(INDEX('Annex 1 LV, HV and UMS charges'!$B$13:$B$44,MATCH($A100,'Annex 1 LV, HV and UMS charges'!$A$13:$A$44,0)),IF(INDEX('Annex 4 LDNO charges'!$B$12:$B$202,MATCH($A100,'Annex 4 LDNO charges'!$A$12:$A$202,0))=0,"",INDEX('Annex 4 LDNO charges'!$B$12:$B$202,MATCH($A100,'Annex 4 LDNO charges'!$A$12:$A$202,0))))</f>
        <v>A40</v>
      </c>
      <c r="C100" s="197" t="str">
        <f>IFERROR(INDEX('Annex 1 LV, HV and UMS charges'!$C$13:$C$44,MATCH($A100,'Annex 1 LV, HV and UMS charges'!$A$13:$A$44,0)),INDEX('Annex 4 LDNO charges'!$C$12:$C$202,MATCH($A100,'Annex 4 LDNO charges'!$A$12:$A$202,0)))</f>
        <v>0, 1, 2</v>
      </c>
      <c r="D100" s="204">
        <v>0</v>
      </c>
      <c r="E100" s="204">
        <v>0</v>
      </c>
    </row>
    <row r="101" spans="1:5" ht="20.100000000000001" customHeight="1" x14ac:dyDescent="0.2">
      <c r="A101" s="165" t="s">
        <v>562</v>
      </c>
      <c r="B101" s="196" t="str">
        <f>IFERROR(INDEX('Annex 1 LV, HV and UMS charges'!$B$13:$B$44,MATCH($A101,'Annex 1 LV, HV and UMS charges'!$A$13:$A$44,0)),IF(INDEX('Annex 4 LDNO charges'!$B$12:$B$202,MATCH($A101,'Annex 4 LDNO charges'!$A$12:$A$202,0))=0,"",INDEX('Annex 4 LDNO charges'!$B$12:$B$202,MATCH($A101,'Annex 4 LDNO charges'!$A$12:$A$202,0))))</f>
        <v>C40</v>
      </c>
      <c r="C101" s="197" t="str">
        <f>IFERROR(INDEX('Annex 1 LV, HV and UMS charges'!$C$13:$C$44,MATCH($A101,'Annex 1 LV, HV and UMS charges'!$A$13:$A$44,0)),INDEX('Annex 4 LDNO charges'!$C$12:$C$202,MATCH($A101,'Annex 4 LDNO charges'!$A$12:$A$202,0)))</f>
        <v>0, 3, 4, 5-8</v>
      </c>
      <c r="D101" s="181"/>
      <c r="E101" s="204">
        <v>0</v>
      </c>
    </row>
    <row r="102" spans="1:5" ht="20.100000000000001" customHeight="1" x14ac:dyDescent="0.2">
      <c r="A102" s="165" t="s">
        <v>563</v>
      </c>
      <c r="B102" s="196" t="str">
        <f>IFERROR(INDEX('Annex 1 LV, HV and UMS charges'!$B$13:$B$44,MATCH($A102,'Annex 1 LV, HV and UMS charges'!$A$13:$A$44,0)),IF(INDEX('Annex 4 LDNO charges'!$B$12:$B$202,MATCH($A102,'Annex 4 LDNO charges'!$A$12:$A$202,0))=0,"",INDEX('Annex 4 LDNO charges'!$B$12:$B$202,MATCH($A102,'Annex 4 LDNO charges'!$A$12:$A$202,0))))</f>
        <v>C41</v>
      </c>
      <c r="C102" s="197" t="str">
        <f>IFERROR(INDEX('Annex 1 LV, HV and UMS charges'!$C$13:$C$44,MATCH($A102,'Annex 1 LV, HV and UMS charges'!$A$13:$A$44,0)),INDEX('Annex 4 LDNO charges'!$C$12:$C$202,MATCH($A102,'Annex 4 LDNO charges'!$A$12:$A$202,0)))</f>
        <v>0, 3, 4, 5-8</v>
      </c>
      <c r="D102" s="181"/>
      <c r="E102" s="204">
        <v>0</v>
      </c>
    </row>
    <row r="103" spans="1:5" ht="20.100000000000001" customHeight="1" x14ac:dyDescent="0.2">
      <c r="A103" s="165" t="s">
        <v>564</v>
      </c>
      <c r="B103" s="196" t="str">
        <f>IFERROR(INDEX('Annex 1 LV, HV and UMS charges'!$B$13:$B$44,MATCH($A103,'Annex 1 LV, HV and UMS charges'!$A$13:$A$44,0)),IF(INDEX('Annex 4 LDNO charges'!$B$12:$B$202,MATCH($A103,'Annex 4 LDNO charges'!$A$12:$A$202,0))=0,"",INDEX('Annex 4 LDNO charges'!$B$12:$B$202,MATCH($A103,'Annex 4 LDNO charges'!$A$12:$A$202,0))))</f>
        <v>C42</v>
      </c>
      <c r="C103" s="197" t="str">
        <f>IFERROR(INDEX('Annex 1 LV, HV and UMS charges'!$C$13:$C$44,MATCH($A103,'Annex 1 LV, HV and UMS charges'!$A$13:$A$44,0)),INDEX('Annex 4 LDNO charges'!$C$12:$C$202,MATCH($A103,'Annex 4 LDNO charges'!$A$12:$A$202,0)))</f>
        <v>0, 3, 4, 5-8</v>
      </c>
      <c r="D103" s="181"/>
      <c r="E103" s="204">
        <v>0</v>
      </c>
    </row>
    <row r="104" spans="1:5" ht="20.100000000000001" customHeight="1" x14ac:dyDescent="0.2">
      <c r="A104" s="165" t="s">
        <v>565</v>
      </c>
      <c r="B104" s="196" t="str">
        <f>IFERROR(INDEX('Annex 1 LV, HV and UMS charges'!$B$13:$B$44,MATCH($A104,'Annex 1 LV, HV and UMS charges'!$A$13:$A$44,0)),IF(INDEX('Annex 4 LDNO charges'!$B$12:$B$202,MATCH($A104,'Annex 4 LDNO charges'!$A$12:$A$202,0))=0,"",INDEX('Annex 4 LDNO charges'!$B$12:$B$202,MATCH($A104,'Annex 4 LDNO charges'!$A$12:$A$202,0))))</f>
        <v>C43</v>
      </c>
      <c r="C104" s="197" t="str">
        <f>IFERROR(INDEX('Annex 1 LV, HV and UMS charges'!$C$13:$C$44,MATCH($A104,'Annex 1 LV, HV and UMS charges'!$A$13:$A$44,0)),INDEX('Annex 4 LDNO charges'!$C$12:$C$202,MATCH($A104,'Annex 4 LDNO charges'!$A$12:$A$202,0)))</f>
        <v>0, 3, 4, 5-8</v>
      </c>
      <c r="D104" s="181"/>
      <c r="E104" s="204">
        <v>0</v>
      </c>
    </row>
    <row r="105" spans="1:5" ht="20.100000000000001" customHeight="1" x14ac:dyDescent="0.2">
      <c r="A105" s="165" t="s">
        <v>566</v>
      </c>
      <c r="B105" s="196" t="str">
        <f>IFERROR(INDEX('Annex 1 LV, HV and UMS charges'!$B$13:$B$44,MATCH($A105,'Annex 1 LV, HV and UMS charges'!$A$13:$A$44,0)),IF(INDEX('Annex 4 LDNO charges'!$B$12:$B$202,MATCH($A105,'Annex 4 LDNO charges'!$A$12:$A$202,0))=0,"",INDEX('Annex 4 LDNO charges'!$B$12:$B$202,MATCH($A105,'Annex 4 LDNO charges'!$A$12:$A$202,0))))</f>
        <v>C44</v>
      </c>
      <c r="C105" s="197" t="str">
        <f>IFERROR(INDEX('Annex 1 LV, HV and UMS charges'!$C$13:$C$44,MATCH($A105,'Annex 1 LV, HV and UMS charges'!$A$13:$A$44,0)),INDEX('Annex 4 LDNO charges'!$C$12:$C$202,MATCH($A105,'Annex 4 LDNO charges'!$A$12:$A$202,0)))</f>
        <v>0, 3, 4, 5-8</v>
      </c>
      <c r="D105" s="181"/>
      <c r="E105" s="204">
        <v>0</v>
      </c>
    </row>
    <row r="106" spans="1:5" ht="20.100000000000001" customHeight="1" x14ac:dyDescent="0.2">
      <c r="A106" s="165" t="s">
        <v>469</v>
      </c>
      <c r="B106" s="196" t="str">
        <f>IFERROR(INDEX('Annex 1 LV, HV and UMS charges'!$B$13:$B$44,MATCH($A106,'Annex 1 LV, HV and UMS charges'!$A$13:$A$44,0)),IF(INDEX('Annex 4 LDNO charges'!$B$12:$B$202,MATCH($A106,'Annex 4 LDNO charges'!$A$12:$A$202,0))=0,"",INDEX('Annex 4 LDNO charges'!$B$12:$B$202,MATCH($A106,'Annex 4 LDNO charges'!$A$12:$A$202,0))))</f>
        <v>E40</v>
      </c>
      <c r="C106" s="197">
        <f>IFERROR(INDEX('Annex 1 LV, HV and UMS charges'!$C$13:$C$44,MATCH($A106,'Annex 1 LV, HV and UMS charges'!$A$13:$A$44,0)),INDEX('Annex 4 LDNO charges'!$C$12:$C$202,MATCH($A106,'Annex 4 LDNO charges'!$A$12:$A$202,0)))</f>
        <v>0</v>
      </c>
      <c r="D106" s="181"/>
      <c r="E106" s="204">
        <v>0</v>
      </c>
    </row>
    <row r="107" spans="1:5" ht="20.100000000000001" customHeight="1" x14ac:dyDescent="0.2">
      <c r="A107" s="165" t="s">
        <v>470</v>
      </c>
      <c r="B107" s="196" t="str">
        <f>IFERROR(INDEX('Annex 1 LV, HV and UMS charges'!$B$13:$B$44,MATCH($A107,'Annex 1 LV, HV and UMS charges'!$A$13:$A$44,0)),IF(INDEX('Annex 4 LDNO charges'!$B$12:$B$202,MATCH($A107,'Annex 4 LDNO charges'!$A$12:$A$202,0))=0,"",INDEX('Annex 4 LDNO charges'!$B$12:$B$202,MATCH($A107,'Annex 4 LDNO charges'!$A$12:$A$202,0))))</f>
        <v>E41</v>
      </c>
      <c r="C107" s="197">
        <f>IFERROR(INDEX('Annex 1 LV, HV and UMS charges'!$C$13:$C$44,MATCH($A107,'Annex 1 LV, HV and UMS charges'!$A$13:$A$44,0)),INDEX('Annex 4 LDNO charges'!$C$12:$C$202,MATCH($A107,'Annex 4 LDNO charges'!$A$12:$A$202,0)))</f>
        <v>0</v>
      </c>
      <c r="D107" s="181"/>
      <c r="E107" s="204">
        <v>0</v>
      </c>
    </row>
    <row r="108" spans="1:5" ht="20.100000000000001" customHeight="1" x14ac:dyDescent="0.2">
      <c r="A108" s="165" t="s">
        <v>471</v>
      </c>
      <c r="B108" s="196" t="str">
        <f>IFERROR(INDEX('Annex 1 LV, HV and UMS charges'!$B$13:$B$44,MATCH($A108,'Annex 1 LV, HV and UMS charges'!$A$13:$A$44,0)),IF(INDEX('Annex 4 LDNO charges'!$B$12:$B$202,MATCH($A108,'Annex 4 LDNO charges'!$A$12:$A$202,0))=0,"",INDEX('Annex 4 LDNO charges'!$B$12:$B$202,MATCH($A108,'Annex 4 LDNO charges'!$A$12:$A$202,0))))</f>
        <v>E42</v>
      </c>
      <c r="C108" s="197">
        <f>IFERROR(INDEX('Annex 1 LV, HV and UMS charges'!$C$13:$C$44,MATCH($A108,'Annex 1 LV, HV and UMS charges'!$A$13:$A$44,0)),INDEX('Annex 4 LDNO charges'!$C$12:$C$202,MATCH($A108,'Annex 4 LDNO charges'!$A$12:$A$202,0)))</f>
        <v>0</v>
      </c>
      <c r="D108" s="181"/>
      <c r="E108" s="204">
        <v>0</v>
      </c>
    </row>
    <row r="109" spans="1:5" ht="20.100000000000001" customHeight="1" x14ac:dyDescent="0.2">
      <c r="A109" s="165" t="s">
        <v>472</v>
      </c>
      <c r="B109" s="196" t="str">
        <f>IFERROR(INDEX('Annex 1 LV, HV and UMS charges'!$B$13:$B$44,MATCH($A109,'Annex 1 LV, HV and UMS charges'!$A$13:$A$44,0)),IF(INDEX('Annex 4 LDNO charges'!$B$12:$B$202,MATCH($A109,'Annex 4 LDNO charges'!$A$12:$A$202,0))=0,"",INDEX('Annex 4 LDNO charges'!$B$12:$B$202,MATCH($A109,'Annex 4 LDNO charges'!$A$12:$A$202,0))))</f>
        <v>E43</v>
      </c>
      <c r="C109" s="197">
        <f>IFERROR(INDEX('Annex 1 LV, HV and UMS charges'!$C$13:$C$44,MATCH($A109,'Annex 1 LV, HV and UMS charges'!$A$13:$A$44,0)),INDEX('Annex 4 LDNO charges'!$C$12:$C$202,MATCH($A109,'Annex 4 LDNO charges'!$A$12:$A$202,0)))</f>
        <v>0</v>
      </c>
      <c r="D109" s="181"/>
      <c r="E109" s="204">
        <v>0</v>
      </c>
    </row>
    <row r="110" spans="1:5" ht="20.100000000000001" customHeight="1" x14ac:dyDescent="0.2">
      <c r="A110" s="165" t="s">
        <v>473</v>
      </c>
      <c r="B110" s="196" t="str">
        <f>IFERROR(INDEX('Annex 1 LV, HV and UMS charges'!$B$13:$B$44,MATCH($A110,'Annex 1 LV, HV and UMS charges'!$A$13:$A$44,0)),IF(INDEX('Annex 4 LDNO charges'!$B$12:$B$202,MATCH($A110,'Annex 4 LDNO charges'!$A$12:$A$202,0))=0,"",INDEX('Annex 4 LDNO charges'!$B$12:$B$202,MATCH($A110,'Annex 4 LDNO charges'!$A$12:$A$202,0))))</f>
        <v>E44</v>
      </c>
      <c r="C110" s="197">
        <f>IFERROR(INDEX('Annex 1 LV, HV and UMS charges'!$C$13:$C$44,MATCH($A110,'Annex 1 LV, HV and UMS charges'!$A$13:$A$44,0)),INDEX('Annex 4 LDNO charges'!$C$12:$C$202,MATCH($A110,'Annex 4 LDNO charges'!$A$12:$A$202,0)))</f>
        <v>0</v>
      </c>
      <c r="D110" s="181"/>
      <c r="E110" s="204">
        <v>0</v>
      </c>
    </row>
    <row r="111" spans="1:5" ht="20.100000000000001" customHeight="1" x14ac:dyDescent="0.2">
      <c r="A111" s="165" t="s">
        <v>474</v>
      </c>
      <c r="B111" s="196" t="str">
        <f>IFERROR(INDEX('Annex 1 LV, HV and UMS charges'!$B$13:$B$44,MATCH($A111,'Annex 1 LV, HV and UMS charges'!$A$13:$A$44,0)),IF(INDEX('Annex 4 LDNO charges'!$B$12:$B$202,MATCH($A111,'Annex 4 LDNO charges'!$A$12:$A$202,0))=0,"",INDEX('Annex 4 LDNO charges'!$B$12:$B$202,MATCH($A111,'Annex 4 LDNO charges'!$A$12:$A$202,0))))</f>
        <v>J40</v>
      </c>
      <c r="C111" s="197">
        <f>IFERROR(INDEX('Annex 1 LV, HV and UMS charges'!$C$13:$C$44,MATCH($A111,'Annex 1 LV, HV and UMS charges'!$A$13:$A$44,0)),INDEX('Annex 4 LDNO charges'!$C$12:$C$202,MATCH($A111,'Annex 4 LDNO charges'!$A$12:$A$202,0)))</f>
        <v>0</v>
      </c>
      <c r="D111" s="181"/>
      <c r="E111" s="204">
        <v>0</v>
      </c>
    </row>
    <row r="112" spans="1:5" ht="20.100000000000001" customHeight="1" x14ac:dyDescent="0.2">
      <c r="A112" s="165" t="s">
        <v>475</v>
      </c>
      <c r="B112" s="196" t="str">
        <f>IFERROR(INDEX('Annex 1 LV, HV and UMS charges'!$B$13:$B$44,MATCH($A112,'Annex 1 LV, HV and UMS charges'!$A$13:$A$44,0)),IF(INDEX('Annex 4 LDNO charges'!$B$12:$B$202,MATCH($A112,'Annex 4 LDNO charges'!$A$12:$A$202,0))=0,"",INDEX('Annex 4 LDNO charges'!$B$12:$B$202,MATCH($A112,'Annex 4 LDNO charges'!$A$12:$A$202,0))))</f>
        <v>J41</v>
      </c>
      <c r="C112" s="197">
        <f>IFERROR(INDEX('Annex 1 LV, HV and UMS charges'!$C$13:$C$44,MATCH($A112,'Annex 1 LV, HV and UMS charges'!$A$13:$A$44,0)),INDEX('Annex 4 LDNO charges'!$C$12:$C$202,MATCH($A112,'Annex 4 LDNO charges'!$A$12:$A$202,0)))</f>
        <v>0</v>
      </c>
      <c r="D112" s="181"/>
      <c r="E112" s="204">
        <v>0</v>
      </c>
    </row>
    <row r="113" spans="1:5" ht="20.100000000000001" customHeight="1" x14ac:dyDescent="0.2">
      <c r="A113" s="165" t="s">
        <v>476</v>
      </c>
      <c r="B113" s="196" t="str">
        <f>IFERROR(INDEX('Annex 1 LV, HV and UMS charges'!$B$13:$B$44,MATCH($A113,'Annex 1 LV, HV and UMS charges'!$A$13:$A$44,0)),IF(INDEX('Annex 4 LDNO charges'!$B$12:$B$202,MATCH($A113,'Annex 4 LDNO charges'!$A$12:$A$202,0))=0,"",INDEX('Annex 4 LDNO charges'!$B$12:$B$202,MATCH($A113,'Annex 4 LDNO charges'!$A$12:$A$202,0))))</f>
        <v>J42</v>
      </c>
      <c r="C113" s="197">
        <f>IFERROR(INDEX('Annex 1 LV, HV and UMS charges'!$C$13:$C$44,MATCH($A113,'Annex 1 LV, HV and UMS charges'!$A$13:$A$44,0)),INDEX('Annex 4 LDNO charges'!$C$12:$C$202,MATCH($A113,'Annex 4 LDNO charges'!$A$12:$A$202,0)))</f>
        <v>0</v>
      </c>
      <c r="D113" s="181"/>
      <c r="E113" s="204">
        <v>0</v>
      </c>
    </row>
    <row r="114" spans="1:5" ht="20.100000000000001" customHeight="1" x14ac:dyDescent="0.2">
      <c r="A114" s="165" t="s">
        <v>477</v>
      </c>
      <c r="B114" s="196" t="str">
        <f>IFERROR(INDEX('Annex 1 LV, HV and UMS charges'!$B$13:$B$44,MATCH($A114,'Annex 1 LV, HV and UMS charges'!$A$13:$A$44,0)),IF(INDEX('Annex 4 LDNO charges'!$B$12:$B$202,MATCH($A114,'Annex 4 LDNO charges'!$A$12:$A$202,0))=0,"",INDEX('Annex 4 LDNO charges'!$B$12:$B$202,MATCH($A114,'Annex 4 LDNO charges'!$A$12:$A$202,0))))</f>
        <v>J43</v>
      </c>
      <c r="C114" s="197">
        <f>IFERROR(INDEX('Annex 1 LV, HV and UMS charges'!$C$13:$C$44,MATCH($A114,'Annex 1 LV, HV and UMS charges'!$A$13:$A$44,0)),INDEX('Annex 4 LDNO charges'!$C$12:$C$202,MATCH($A114,'Annex 4 LDNO charges'!$A$12:$A$202,0)))</f>
        <v>0</v>
      </c>
      <c r="D114" s="181"/>
      <c r="E114" s="204">
        <v>0</v>
      </c>
    </row>
    <row r="115" spans="1:5" ht="20.100000000000001" customHeight="1" x14ac:dyDescent="0.2">
      <c r="A115" s="165" t="s">
        <v>478</v>
      </c>
      <c r="B115" s="196" t="str">
        <f>IFERROR(INDEX('Annex 1 LV, HV and UMS charges'!$B$13:$B$44,MATCH($A115,'Annex 1 LV, HV and UMS charges'!$A$13:$A$44,0)),IF(INDEX('Annex 4 LDNO charges'!$B$12:$B$202,MATCH($A115,'Annex 4 LDNO charges'!$A$12:$A$202,0))=0,"",INDEX('Annex 4 LDNO charges'!$B$12:$B$202,MATCH($A115,'Annex 4 LDNO charges'!$A$12:$A$202,0))))</f>
        <v>J44</v>
      </c>
      <c r="C115" s="197">
        <f>IFERROR(INDEX('Annex 1 LV, HV and UMS charges'!$C$13:$C$44,MATCH($A115,'Annex 1 LV, HV and UMS charges'!$A$13:$A$44,0)),INDEX('Annex 4 LDNO charges'!$C$12:$C$202,MATCH($A115,'Annex 4 LDNO charges'!$A$12:$A$202,0)))</f>
        <v>0</v>
      </c>
      <c r="D115" s="181"/>
      <c r="E115" s="204">
        <v>0</v>
      </c>
    </row>
    <row r="116" spans="1:5" ht="20.100000000000001" customHeight="1" x14ac:dyDescent="0.2">
      <c r="A116" s="165" t="s">
        <v>479</v>
      </c>
      <c r="B116" s="196" t="str">
        <f>IFERROR(INDEX('Annex 1 LV, HV and UMS charges'!$B$13:$B$44,MATCH($A116,'Annex 1 LV, HV and UMS charges'!$A$13:$A$44,0)),IF(INDEX('Annex 4 LDNO charges'!$B$12:$B$202,MATCH($A116,'Annex 4 LDNO charges'!$A$12:$A$202,0))=0,"",INDEX('Annex 4 LDNO charges'!$B$12:$B$202,MATCH($A116,'Annex 4 LDNO charges'!$A$12:$A$202,0))))</f>
        <v>K40</v>
      </c>
      <c r="C116" s="197">
        <f>IFERROR(INDEX('Annex 1 LV, HV and UMS charges'!$C$13:$C$44,MATCH($A116,'Annex 1 LV, HV and UMS charges'!$A$13:$A$44,0)),INDEX('Annex 4 LDNO charges'!$C$12:$C$202,MATCH($A116,'Annex 4 LDNO charges'!$A$12:$A$202,0)))</f>
        <v>0</v>
      </c>
      <c r="D116" s="181"/>
      <c r="E116" s="204">
        <v>0</v>
      </c>
    </row>
    <row r="117" spans="1:5" ht="20.100000000000001" customHeight="1" x14ac:dyDescent="0.2">
      <c r="A117" s="165" t="s">
        <v>480</v>
      </c>
      <c r="B117" s="196" t="str">
        <f>IFERROR(INDEX('Annex 1 LV, HV and UMS charges'!$B$13:$B$44,MATCH($A117,'Annex 1 LV, HV and UMS charges'!$A$13:$A$44,0)),IF(INDEX('Annex 4 LDNO charges'!$B$12:$B$202,MATCH($A117,'Annex 4 LDNO charges'!$A$12:$A$202,0))=0,"",INDEX('Annex 4 LDNO charges'!$B$12:$B$202,MATCH($A117,'Annex 4 LDNO charges'!$A$12:$A$202,0))))</f>
        <v>K41</v>
      </c>
      <c r="C117" s="197">
        <f>IFERROR(INDEX('Annex 1 LV, HV and UMS charges'!$C$13:$C$44,MATCH($A117,'Annex 1 LV, HV and UMS charges'!$A$13:$A$44,0)),INDEX('Annex 4 LDNO charges'!$C$12:$C$202,MATCH($A117,'Annex 4 LDNO charges'!$A$12:$A$202,0)))</f>
        <v>0</v>
      </c>
      <c r="D117" s="181"/>
      <c r="E117" s="204">
        <v>0</v>
      </c>
    </row>
    <row r="118" spans="1:5" ht="20.100000000000001" customHeight="1" x14ac:dyDescent="0.2">
      <c r="A118" s="165" t="s">
        <v>481</v>
      </c>
      <c r="B118" s="196" t="str">
        <f>IFERROR(INDEX('Annex 1 LV, HV and UMS charges'!$B$13:$B$44,MATCH($A118,'Annex 1 LV, HV and UMS charges'!$A$13:$A$44,0)),IF(INDEX('Annex 4 LDNO charges'!$B$12:$B$202,MATCH($A118,'Annex 4 LDNO charges'!$A$12:$A$202,0))=0,"",INDEX('Annex 4 LDNO charges'!$B$12:$B$202,MATCH($A118,'Annex 4 LDNO charges'!$A$12:$A$202,0))))</f>
        <v>K42</v>
      </c>
      <c r="C118" s="197">
        <f>IFERROR(INDEX('Annex 1 LV, HV and UMS charges'!$C$13:$C$44,MATCH($A118,'Annex 1 LV, HV and UMS charges'!$A$13:$A$44,0)),INDEX('Annex 4 LDNO charges'!$C$12:$C$202,MATCH($A118,'Annex 4 LDNO charges'!$A$12:$A$202,0)))</f>
        <v>0</v>
      </c>
      <c r="D118" s="181"/>
      <c r="E118" s="204">
        <v>0</v>
      </c>
    </row>
    <row r="119" spans="1:5" ht="20.100000000000001" customHeight="1" x14ac:dyDescent="0.2">
      <c r="A119" s="165" t="s">
        <v>482</v>
      </c>
      <c r="B119" s="196" t="str">
        <f>IFERROR(INDEX('Annex 1 LV, HV and UMS charges'!$B$13:$B$44,MATCH($A119,'Annex 1 LV, HV and UMS charges'!$A$13:$A$44,0)),IF(INDEX('Annex 4 LDNO charges'!$B$12:$B$202,MATCH($A119,'Annex 4 LDNO charges'!$A$12:$A$202,0))=0,"",INDEX('Annex 4 LDNO charges'!$B$12:$B$202,MATCH($A119,'Annex 4 LDNO charges'!$A$12:$A$202,0))))</f>
        <v>K43</v>
      </c>
      <c r="C119" s="197">
        <f>IFERROR(INDEX('Annex 1 LV, HV and UMS charges'!$C$13:$C$44,MATCH($A119,'Annex 1 LV, HV and UMS charges'!$A$13:$A$44,0)),INDEX('Annex 4 LDNO charges'!$C$12:$C$202,MATCH($A119,'Annex 4 LDNO charges'!$A$12:$A$202,0)))</f>
        <v>0</v>
      </c>
      <c r="D119" s="181"/>
      <c r="E119" s="204">
        <v>0</v>
      </c>
    </row>
    <row r="120" spans="1:5" ht="20.100000000000001" customHeight="1" x14ac:dyDescent="0.2">
      <c r="A120" s="165" t="s">
        <v>483</v>
      </c>
      <c r="B120" s="196" t="str">
        <f>IFERROR(INDEX('Annex 1 LV, HV and UMS charges'!$B$13:$B$44,MATCH($A120,'Annex 1 LV, HV and UMS charges'!$A$13:$A$44,0)),IF(INDEX('Annex 4 LDNO charges'!$B$12:$B$202,MATCH($A120,'Annex 4 LDNO charges'!$A$12:$A$202,0))=0,"",INDEX('Annex 4 LDNO charges'!$B$12:$B$202,MATCH($A120,'Annex 4 LDNO charges'!$A$12:$A$202,0))))</f>
        <v>K44</v>
      </c>
      <c r="C120" s="197">
        <f>IFERROR(INDEX('Annex 1 LV, HV and UMS charges'!$C$13:$C$44,MATCH($A120,'Annex 1 LV, HV and UMS charges'!$A$13:$A$44,0)),INDEX('Annex 4 LDNO charges'!$C$12:$C$202,MATCH($A120,'Annex 4 LDNO charges'!$A$12:$A$202,0)))</f>
        <v>0</v>
      </c>
      <c r="D120" s="181"/>
      <c r="E120" s="204">
        <v>0</v>
      </c>
    </row>
    <row r="121" spans="1:5" ht="20.100000000000001" customHeight="1" x14ac:dyDescent="0.2">
      <c r="A121" s="165" t="s">
        <v>567</v>
      </c>
      <c r="B121" s="196" t="str">
        <f>IFERROR(INDEX('Annex 1 LV, HV and UMS charges'!$B$13:$B$44,MATCH($A121,'Annex 1 LV, HV and UMS charges'!$A$13:$A$44,0)),IF(INDEX('Annex 4 LDNO charges'!$B$12:$B$202,MATCH($A121,'Annex 4 LDNO charges'!$A$12:$A$202,0))=0,"",INDEX('Annex 4 LDNO charges'!$B$12:$B$202,MATCH($A121,'Annex 4 LDNO charges'!$A$12:$A$202,0))))</f>
        <v>A50</v>
      </c>
      <c r="C121" s="197" t="str">
        <f>IFERROR(INDEX('Annex 1 LV, HV and UMS charges'!$C$13:$C$44,MATCH($A121,'Annex 1 LV, HV and UMS charges'!$A$13:$A$44,0)),INDEX('Annex 4 LDNO charges'!$C$12:$C$202,MATCH($A121,'Annex 4 LDNO charges'!$A$12:$A$202,0)))</f>
        <v>0, 1, 2</v>
      </c>
      <c r="D121" s="204">
        <v>0</v>
      </c>
      <c r="E121" s="204">
        <v>0</v>
      </c>
    </row>
    <row r="122" spans="1:5" ht="20.100000000000001" customHeight="1" x14ac:dyDescent="0.2">
      <c r="A122" s="165" t="s">
        <v>568</v>
      </c>
      <c r="B122" s="196" t="str">
        <f>IFERROR(INDEX('Annex 1 LV, HV and UMS charges'!$B$13:$B$44,MATCH($A122,'Annex 1 LV, HV and UMS charges'!$A$13:$A$44,0)),IF(INDEX('Annex 4 LDNO charges'!$B$12:$B$202,MATCH($A122,'Annex 4 LDNO charges'!$A$12:$A$202,0))=0,"",INDEX('Annex 4 LDNO charges'!$B$12:$B$202,MATCH($A122,'Annex 4 LDNO charges'!$A$12:$A$202,0))))</f>
        <v>C50</v>
      </c>
      <c r="C122" s="197" t="str">
        <f>IFERROR(INDEX('Annex 1 LV, HV and UMS charges'!$C$13:$C$44,MATCH($A122,'Annex 1 LV, HV and UMS charges'!$A$13:$A$44,0)),INDEX('Annex 4 LDNO charges'!$C$12:$C$202,MATCH($A122,'Annex 4 LDNO charges'!$A$12:$A$202,0)))</f>
        <v>0, 3, 4, 5-8</v>
      </c>
      <c r="D122" s="181"/>
      <c r="E122" s="204">
        <v>0</v>
      </c>
    </row>
    <row r="123" spans="1:5" ht="20.100000000000001" customHeight="1" x14ac:dyDescent="0.2">
      <c r="A123" s="165" t="s">
        <v>569</v>
      </c>
      <c r="B123" s="196" t="str">
        <f>IFERROR(INDEX('Annex 1 LV, HV and UMS charges'!$B$13:$B$44,MATCH($A123,'Annex 1 LV, HV and UMS charges'!$A$13:$A$44,0)),IF(INDEX('Annex 4 LDNO charges'!$B$12:$B$202,MATCH($A123,'Annex 4 LDNO charges'!$A$12:$A$202,0))=0,"",INDEX('Annex 4 LDNO charges'!$B$12:$B$202,MATCH($A123,'Annex 4 LDNO charges'!$A$12:$A$202,0))))</f>
        <v>C51</v>
      </c>
      <c r="C123" s="197" t="str">
        <f>IFERROR(INDEX('Annex 1 LV, HV and UMS charges'!$C$13:$C$44,MATCH($A123,'Annex 1 LV, HV and UMS charges'!$A$13:$A$44,0)),INDEX('Annex 4 LDNO charges'!$C$12:$C$202,MATCH($A123,'Annex 4 LDNO charges'!$A$12:$A$202,0)))</f>
        <v>0, 3, 4, 5-8</v>
      </c>
      <c r="D123" s="181"/>
      <c r="E123" s="204">
        <v>0</v>
      </c>
    </row>
    <row r="124" spans="1:5" ht="20.100000000000001" customHeight="1" x14ac:dyDescent="0.2">
      <c r="A124" s="165" t="s">
        <v>570</v>
      </c>
      <c r="B124" s="196" t="str">
        <f>IFERROR(INDEX('Annex 1 LV, HV and UMS charges'!$B$13:$B$44,MATCH($A124,'Annex 1 LV, HV and UMS charges'!$A$13:$A$44,0)),IF(INDEX('Annex 4 LDNO charges'!$B$12:$B$202,MATCH($A124,'Annex 4 LDNO charges'!$A$12:$A$202,0))=0,"",INDEX('Annex 4 LDNO charges'!$B$12:$B$202,MATCH($A124,'Annex 4 LDNO charges'!$A$12:$A$202,0))))</f>
        <v>C52</v>
      </c>
      <c r="C124" s="197" t="str">
        <f>IFERROR(INDEX('Annex 1 LV, HV and UMS charges'!$C$13:$C$44,MATCH($A124,'Annex 1 LV, HV and UMS charges'!$A$13:$A$44,0)),INDEX('Annex 4 LDNO charges'!$C$12:$C$202,MATCH($A124,'Annex 4 LDNO charges'!$A$12:$A$202,0)))</f>
        <v>0, 3, 4, 5-8</v>
      </c>
      <c r="D124" s="181"/>
      <c r="E124" s="204">
        <v>0</v>
      </c>
    </row>
    <row r="125" spans="1:5" ht="20.100000000000001" customHeight="1" x14ac:dyDescent="0.2">
      <c r="A125" s="165" t="s">
        <v>571</v>
      </c>
      <c r="B125" s="196" t="str">
        <f>IFERROR(INDEX('Annex 1 LV, HV and UMS charges'!$B$13:$B$44,MATCH($A125,'Annex 1 LV, HV and UMS charges'!$A$13:$A$44,0)),IF(INDEX('Annex 4 LDNO charges'!$B$12:$B$202,MATCH($A125,'Annex 4 LDNO charges'!$A$12:$A$202,0))=0,"",INDEX('Annex 4 LDNO charges'!$B$12:$B$202,MATCH($A125,'Annex 4 LDNO charges'!$A$12:$A$202,0))))</f>
        <v>C53</v>
      </c>
      <c r="C125" s="197" t="str">
        <f>IFERROR(INDEX('Annex 1 LV, HV and UMS charges'!$C$13:$C$44,MATCH($A125,'Annex 1 LV, HV and UMS charges'!$A$13:$A$44,0)),INDEX('Annex 4 LDNO charges'!$C$12:$C$202,MATCH($A125,'Annex 4 LDNO charges'!$A$12:$A$202,0)))</f>
        <v>0, 3, 4, 5-8</v>
      </c>
      <c r="D125" s="181"/>
      <c r="E125" s="204">
        <v>0</v>
      </c>
    </row>
    <row r="126" spans="1:5" ht="20.100000000000001" customHeight="1" x14ac:dyDescent="0.2">
      <c r="A126" s="165" t="s">
        <v>572</v>
      </c>
      <c r="B126" s="196" t="str">
        <f>IFERROR(INDEX('Annex 1 LV, HV and UMS charges'!$B$13:$B$44,MATCH($A126,'Annex 1 LV, HV and UMS charges'!$A$13:$A$44,0)),IF(INDEX('Annex 4 LDNO charges'!$B$12:$B$202,MATCH($A126,'Annex 4 LDNO charges'!$A$12:$A$202,0))=0,"",INDEX('Annex 4 LDNO charges'!$B$12:$B$202,MATCH($A126,'Annex 4 LDNO charges'!$A$12:$A$202,0))))</f>
        <v>C54</v>
      </c>
      <c r="C126" s="197" t="str">
        <f>IFERROR(INDEX('Annex 1 LV, HV and UMS charges'!$C$13:$C$44,MATCH($A126,'Annex 1 LV, HV and UMS charges'!$A$13:$A$44,0)),INDEX('Annex 4 LDNO charges'!$C$12:$C$202,MATCH($A126,'Annex 4 LDNO charges'!$A$12:$A$202,0)))</f>
        <v>0, 3, 4, 5-8</v>
      </c>
      <c r="D126" s="181"/>
      <c r="E126" s="204">
        <v>0</v>
      </c>
    </row>
    <row r="127" spans="1:5" ht="20.100000000000001" customHeight="1" x14ac:dyDescent="0.2">
      <c r="A127" s="165" t="s">
        <v>454</v>
      </c>
      <c r="B127" s="196" t="str">
        <f>IFERROR(INDEX('Annex 1 LV, HV and UMS charges'!$B$13:$B$44,MATCH($A127,'Annex 1 LV, HV and UMS charges'!$A$13:$A$44,0)),IF(INDEX('Annex 4 LDNO charges'!$B$12:$B$202,MATCH($A127,'Annex 4 LDNO charges'!$A$12:$A$202,0))=0,"",INDEX('Annex 4 LDNO charges'!$B$12:$B$202,MATCH($A127,'Annex 4 LDNO charges'!$A$12:$A$202,0))))</f>
        <v>E50</v>
      </c>
      <c r="C127" s="197">
        <f>IFERROR(INDEX('Annex 1 LV, HV and UMS charges'!$C$13:$C$44,MATCH($A127,'Annex 1 LV, HV and UMS charges'!$A$13:$A$44,0)),INDEX('Annex 4 LDNO charges'!$C$12:$C$202,MATCH($A127,'Annex 4 LDNO charges'!$A$12:$A$202,0)))</f>
        <v>0</v>
      </c>
      <c r="D127" s="181"/>
      <c r="E127" s="204">
        <v>0</v>
      </c>
    </row>
    <row r="128" spans="1:5" ht="20.100000000000001" customHeight="1" x14ac:dyDescent="0.2">
      <c r="A128" s="165" t="s">
        <v>455</v>
      </c>
      <c r="B128" s="196" t="str">
        <f>IFERROR(INDEX('Annex 1 LV, HV and UMS charges'!$B$13:$B$44,MATCH($A128,'Annex 1 LV, HV and UMS charges'!$A$13:$A$44,0)),IF(INDEX('Annex 4 LDNO charges'!$B$12:$B$202,MATCH($A128,'Annex 4 LDNO charges'!$A$12:$A$202,0))=0,"",INDEX('Annex 4 LDNO charges'!$B$12:$B$202,MATCH($A128,'Annex 4 LDNO charges'!$A$12:$A$202,0))))</f>
        <v>E51</v>
      </c>
      <c r="C128" s="197">
        <f>IFERROR(INDEX('Annex 1 LV, HV and UMS charges'!$C$13:$C$44,MATCH($A128,'Annex 1 LV, HV and UMS charges'!$A$13:$A$44,0)),INDEX('Annex 4 LDNO charges'!$C$12:$C$202,MATCH($A128,'Annex 4 LDNO charges'!$A$12:$A$202,0)))</f>
        <v>0</v>
      </c>
      <c r="D128" s="181"/>
      <c r="E128" s="204">
        <v>0</v>
      </c>
    </row>
    <row r="129" spans="1:5" ht="20.100000000000001" customHeight="1" x14ac:dyDescent="0.2">
      <c r="A129" s="165" t="s">
        <v>456</v>
      </c>
      <c r="B129" s="196" t="str">
        <f>IFERROR(INDEX('Annex 1 LV, HV and UMS charges'!$B$13:$B$44,MATCH($A129,'Annex 1 LV, HV and UMS charges'!$A$13:$A$44,0)),IF(INDEX('Annex 4 LDNO charges'!$B$12:$B$202,MATCH($A129,'Annex 4 LDNO charges'!$A$12:$A$202,0))=0,"",INDEX('Annex 4 LDNO charges'!$B$12:$B$202,MATCH($A129,'Annex 4 LDNO charges'!$A$12:$A$202,0))))</f>
        <v>E52</v>
      </c>
      <c r="C129" s="197">
        <f>IFERROR(INDEX('Annex 1 LV, HV and UMS charges'!$C$13:$C$44,MATCH($A129,'Annex 1 LV, HV and UMS charges'!$A$13:$A$44,0)),INDEX('Annex 4 LDNO charges'!$C$12:$C$202,MATCH($A129,'Annex 4 LDNO charges'!$A$12:$A$202,0)))</f>
        <v>0</v>
      </c>
      <c r="D129" s="181"/>
      <c r="E129" s="204">
        <v>0</v>
      </c>
    </row>
    <row r="130" spans="1:5" ht="20.100000000000001" customHeight="1" x14ac:dyDescent="0.2">
      <c r="A130" s="165" t="s">
        <v>457</v>
      </c>
      <c r="B130" s="196" t="str">
        <f>IFERROR(INDEX('Annex 1 LV, HV and UMS charges'!$B$13:$B$44,MATCH($A130,'Annex 1 LV, HV and UMS charges'!$A$13:$A$44,0)),IF(INDEX('Annex 4 LDNO charges'!$B$12:$B$202,MATCH($A130,'Annex 4 LDNO charges'!$A$12:$A$202,0))=0,"",INDEX('Annex 4 LDNO charges'!$B$12:$B$202,MATCH($A130,'Annex 4 LDNO charges'!$A$12:$A$202,0))))</f>
        <v>E53</v>
      </c>
      <c r="C130" s="197">
        <f>IFERROR(INDEX('Annex 1 LV, HV and UMS charges'!$C$13:$C$44,MATCH($A130,'Annex 1 LV, HV and UMS charges'!$A$13:$A$44,0)),INDEX('Annex 4 LDNO charges'!$C$12:$C$202,MATCH($A130,'Annex 4 LDNO charges'!$A$12:$A$202,0)))</f>
        <v>0</v>
      </c>
      <c r="D130" s="181"/>
      <c r="E130" s="204">
        <v>0</v>
      </c>
    </row>
    <row r="131" spans="1:5" ht="20.100000000000001" customHeight="1" x14ac:dyDescent="0.2">
      <c r="A131" s="165" t="s">
        <v>458</v>
      </c>
      <c r="B131" s="196" t="str">
        <f>IFERROR(INDEX('Annex 1 LV, HV and UMS charges'!$B$13:$B$44,MATCH($A131,'Annex 1 LV, HV and UMS charges'!$A$13:$A$44,0)),IF(INDEX('Annex 4 LDNO charges'!$B$12:$B$202,MATCH($A131,'Annex 4 LDNO charges'!$A$12:$A$202,0))=0,"",INDEX('Annex 4 LDNO charges'!$B$12:$B$202,MATCH($A131,'Annex 4 LDNO charges'!$A$12:$A$202,0))))</f>
        <v>E54</v>
      </c>
      <c r="C131" s="197">
        <f>IFERROR(INDEX('Annex 1 LV, HV and UMS charges'!$C$13:$C$44,MATCH($A131,'Annex 1 LV, HV and UMS charges'!$A$13:$A$44,0)),INDEX('Annex 4 LDNO charges'!$C$12:$C$202,MATCH($A131,'Annex 4 LDNO charges'!$A$12:$A$202,0)))</f>
        <v>0</v>
      </c>
      <c r="D131" s="181"/>
      <c r="E131" s="204">
        <v>0</v>
      </c>
    </row>
    <row r="132" spans="1:5" ht="20.100000000000001" customHeight="1" x14ac:dyDescent="0.2">
      <c r="A132" s="165" t="s">
        <v>459</v>
      </c>
      <c r="B132" s="196" t="str">
        <f>IFERROR(INDEX('Annex 1 LV, HV and UMS charges'!$B$13:$B$44,MATCH($A132,'Annex 1 LV, HV and UMS charges'!$A$13:$A$44,0)),IF(INDEX('Annex 4 LDNO charges'!$B$12:$B$202,MATCH($A132,'Annex 4 LDNO charges'!$A$12:$A$202,0))=0,"",INDEX('Annex 4 LDNO charges'!$B$12:$B$202,MATCH($A132,'Annex 4 LDNO charges'!$A$12:$A$202,0))))</f>
        <v>J50</v>
      </c>
      <c r="C132" s="197">
        <f>IFERROR(INDEX('Annex 1 LV, HV and UMS charges'!$C$13:$C$44,MATCH($A132,'Annex 1 LV, HV and UMS charges'!$A$13:$A$44,0)),INDEX('Annex 4 LDNO charges'!$C$12:$C$202,MATCH($A132,'Annex 4 LDNO charges'!$A$12:$A$202,0)))</f>
        <v>0</v>
      </c>
      <c r="D132" s="181"/>
      <c r="E132" s="204">
        <v>0</v>
      </c>
    </row>
    <row r="133" spans="1:5" ht="20.100000000000001" customHeight="1" x14ac:dyDescent="0.2">
      <c r="A133" s="165" t="s">
        <v>460</v>
      </c>
      <c r="B133" s="196" t="str">
        <f>IFERROR(INDEX('Annex 1 LV, HV and UMS charges'!$B$13:$B$44,MATCH($A133,'Annex 1 LV, HV and UMS charges'!$A$13:$A$44,0)),IF(INDEX('Annex 4 LDNO charges'!$B$12:$B$202,MATCH($A133,'Annex 4 LDNO charges'!$A$12:$A$202,0))=0,"",INDEX('Annex 4 LDNO charges'!$B$12:$B$202,MATCH($A133,'Annex 4 LDNO charges'!$A$12:$A$202,0))))</f>
        <v>J51</v>
      </c>
      <c r="C133" s="197">
        <f>IFERROR(INDEX('Annex 1 LV, HV and UMS charges'!$C$13:$C$44,MATCH($A133,'Annex 1 LV, HV and UMS charges'!$A$13:$A$44,0)),INDEX('Annex 4 LDNO charges'!$C$12:$C$202,MATCH($A133,'Annex 4 LDNO charges'!$A$12:$A$202,0)))</f>
        <v>0</v>
      </c>
      <c r="D133" s="181"/>
      <c r="E133" s="204">
        <v>0</v>
      </c>
    </row>
    <row r="134" spans="1:5" ht="20.100000000000001" customHeight="1" x14ac:dyDescent="0.2">
      <c r="A134" s="165" t="s">
        <v>461</v>
      </c>
      <c r="B134" s="196" t="str">
        <f>IFERROR(INDEX('Annex 1 LV, HV and UMS charges'!$B$13:$B$44,MATCH($A134,'Annex 1 LV, HV and UMS charges'!$A$13:$A$44,0)),IF(INDEX('Annex 4 LDNO charges'!$B$12:$B$202,MATCH($A134,'Annex 4 LDNO charges'!$A$12:$A$202,0))=0,"",INDEX('Annex 4 LDNO charges'!$B$12:$B$202,MATCH($A134,'Annex 4 LDNO charges'!$A$12:$A$202,0))))</f>
        <v>J52</v>
      </c>
      <c r="C134" s="197">
        <f>IFERROR(INDEX('Annex 1 LV, HV and UMS charges'!$C$13:$C$44,MATCH($A134,'Annex 1 LV, HV and UMS charges'!$A$13:$A$44,0)),INDEX('Annex 4 LDNO charges'!$C$12:$C$202,MATCH($A134,'Annex 4 LDNO charges'!$A$12:$A$202,0)))</f>
        <v>0</v>
      </c>
      <c r="D134" s="181"/>
      <c r="E134" s="204">
        <v>0</v>
      </c>
    </row>
    <row r="135" spans="1:5" ht="20.100000000000001" customHeight="1" x14ac:dyDescent="0.2">
      <c r="A135" s="165" t="s">
        <v>462</v>
      </c>
      <c r="B135" s="196" t="str">
        <f>IFERROR(INDEX('Annex 1 LV, HV and UMS charges'!$B$13:$B$44,MATCH($A135,'Annex 1 LV, HV and UMS charges'!$A$13:$A$44,0)),IF(INDEX('Annex 4 LDNO charges'!$B$12:$B$202,MATCH($A135,'Annex 4 LDNO charges'!$A$12:$A$202,0))=0,"",INDEX('Annex 4 LDNO charges'!$B$12:$B$202,MATCH($A135,'Annex 4 LDNO charges'!$A$12:$A$202,0))))</f>
        <v>J53</v>
      </c>
      <c r="C135" s="197">
        <f>IFERROR(INDEX('Annex 1 LV, HV and UMS charges'!$C$13:$C$44,MATCH($A135,'Annex 1 LV, HV and UMS charges'!$A$13:$A$44,0)),INDEX('Annex 4 LDNO charges'!$C$12:$C$202,MATCH($A135,'Annex 4 LDNO charges'!$A$12:$A$202,0)))</f>
        <v>0</v>
      </c>
      <c r="D135" s="181"/>
      <c r="E135" s="204">
        <v>0</v>
      </c>
    </row>
    <row r="136" spans="1:5" ht="20.100000000000001" customHeight="1" x14ac:dyDescent="0.2">
      <c r="A136" s="165" t="s">
        <v>463</v>
      </c>
      <c r="B136" s="196" t="str">
        <f>IFERROR(INDEX('Annex 1 LV, HV and UMS charges'!$B$13:$B$44,MATCH($A136,'Annex 1 LV, HV and UMS charges'!$A$13:$A$44,0)),IF(INDEX('Annex 4 LDNO charges'!$B$12:$B$202,MATCH($A136,'Annex 4 LDNO charges'!$A$12:$A$202,0))=0,"",INDEX('Annex 4 LDNO charges'!$B$12:$B$202,MATCH($A136,'Annex 4 LDNO charges'!$A$12:$A$202,0))))</f>
        <v>J54</v>
      </c>
      <c r="C136" s="197">
        <f>IFERROR(INDEX('Annex 1 LV, HV and UMS charges'!$C$13:$C$44,MATCH($A136,'Annex 1 LV, HV and UMS charges'!$A$13:$A$44,0)),INDEX('Annex 4 LDNO charges'!$C$12:$C$202,MATCH($A136,'Annex 4 LDNO charges'!$A$12:$A$202,0)))</f>
        <v>0</v>
      </c>
      <c r="D136" s="181"/>
      <c r="E136" s="204">
        <v>0</v>
      </c>
    </row>
    <row r="137" spans="1:5" ht="20.100000000000001" customHeight="1" x14ac:dyDescent="0.2">
      <c r="A137" s="165" t="s">
        <v>464</v>
      </c>
      <c r="B137" s="196" t="str">
        <f>IFERROR(INDEX('Annex 1 LV, HV and UMS charges'!$B$13:$B$44,MATCH($A137,'Annex 1 LV, HV and UMS charges'!$A$13:$A$44,0)),IF(INDEX('Annex 4 LDNO charges'!$B$12:$B$202,MATCH($A137,'Annex 4 LDNO charges'!$A$12:$A$202,0))=0,"",INDEX('Annex 4 LDNO charges'!$B$12:$B$202,MATCH($A137,'Annex 4 LDNO charges'!$A$12:$A$202,0))))</f>
        <v>K50</v>
      </c>
      <c r="C137" s="197">
        <f>IFERROR(INDEX('Annex 1 LV, HV and UMS charges'!$C$13:$C$44,MATCH($A137,'Annex 1 LV, HV and UMS charges'!$A$13:$A$44,0)),INDEX('Annex 4 LDNO charges'!$C$12:$C$202,MATCH($A137,'Annex 4 LDNO charges'!$A$12:$A$202,0)))</f>
        <v>0</v>
      </c>
      <c r="D137" s="181"/>
      <c r="E137" s="204">
        <v>0</v>
      </c>
    </row>
    <row r="138" spans="1:5" ht="20.100000000000001" customHeight="1" x14ac:dyDescent="0.2">
      <c r="A138" s="165" t="s">
        <v>465</v>
      </c>
      <c r="B138" s="196" t="str">
        <f>IFERROR(INDEX('Annex 1 LV, HV and UMS charges'!$B$13:$B$44,MATCH($A138,'Annex 1 LV, HV and UMS charges'!$A$13:$A$44,0)),IF(INDEX('Annex 4 LDNO charges'!$B$12:$B$202,MATCH($A138,'Annex 4 LDNO charges'!$A$12:$A$202,0))=0,"",INDEX('Annex 4 LDNO charges'!$B$12:$B$202,MATCH($A138,'Annex 4 LDNO charges'!$A$12:$A$202,0))))</f>
        <v>K51</v>
      </c>
      <c r="C138" s="197">
        <f>IFERROR(INDEX('Annex 1 LV, HV and UMS charges'!$C$13:$C$44,MATCH($A138,'Annex 1 LV, HV and UMS charges'!$A$13:$A$44,0)),INDEX('Annex 4 LDNO charges'!$C$12:$C$202,MATCH($A138,'Annex 4 LDNO charges'!$A$12:$A$202,0)))</f>
        <v>0</v>
      </c>
      <c r="D138" s="181"/>
      <c r="E138" s="204">
        <v>0</v>
      </c>
    </row>
    <row r="139" spans="1:5" ht="20.100000000000001" customHeight="1" x14ac:dyDescent="0.2">
      <c r="A139" s="165" t="s">
        <v>466</v>
      </c>
      <c r="B139" s="196" t="str">
        <f>IFERROR(INDEX('Annex 1 LV, HV and UMS charges'!$B$13:$B$44,MATCH($A139,'Annex 1 LV, HV and UMS charges'!$A$13:$A$44,0)),IF(INDEX('Annex 4 LDNO charges'!$B$12:$B$202,MATCH($A139,'Annex 4 LDNO charges'!$A$12:$A$202,0))=0,"",INDEX('Annex 4 LDNO charges'!$B$12:$B$202,MATCH($A139,'Annex 4 LDNO charges'!$A$12:$A$202,0))))</f>
        <v>K52</v>
      </c>
      <c r="C139" s="197">
        <f>IFERROR(INDEX('Annex 1 LV, HV and UMS charges'!$C$13:$C$44,MATCH($A139,'Annex 1 LV, HV and UMS charges'!$A$13:$A$44,0)),INDEX('Annex 4 LDNO charges'!$C$12:$C$202,MATCH($A139,'Annex 4 LDNO charges'!$A$12:$A$202,0)))</f>
        <v>0</v>
      </c>
      <c r="D139" s="181"/>
      <c r="E139" s="204">
        <v>0</v>
      </c>
    </row>
    <row r="140" spans="1:5" ht="20.100000000000001" customHeight="1" x14ac:dyDescent="0.2">
      <c r="A140" s="165" t="s">
        <v>467</v>
      </c>
      <c r="B140" s="196" t="str">
        <f>IFERROR(INDEX('Annex 1 LV, HV and UMS charges'!$B$13:$B$44,MATCH($A140,'Annex 1 LV, HV and UMS charges'!$A$13:$A$44,0)),IF(INDEX('Annex 4 LDNO charges'!$B$12:$B$202,MATCH($A140,'Annex 4 LDNO charges'!$A$12:$A$202,0))=0,"",INDEX('Annex 4 LDNO charges'!$B$12:$B$202,MATCH($A140,'Annex 4 LDNO charges'!$A$12:$A$202,0))))</f>
        <v>K53</v>
      </c>
      <c r="C140" s="197">
        <f>IFERROR(INDEX('Annex 1 LV, HV and UMS charges'!$C$13:$C$44,MATCH($A140,'Annex 1 LV, HV and UMS charges'!$A$13:$A$44,0)),INDEX('Annex 4 LDNO charges'!$C$12:$C$202,MATCH($A140,'Annex 4 LDNO charges'!$A$12:$A$202,0)))</f>
        <v>0</v>
      </c>
      <c r="D140" s="181"/>
      <c r="E140" s="204">
        <v>0</v>
      </c>
    </row>
    <row r="141" spans="1:5" ht="20.100000000000001" customHeight="1" x14ac:dyDescent="0.2">
      <c r="A141" s="165" t="s">
        <v>468</v>
      </c>
      <c r="B141" s="196" t="str">
        <f>IFERROR(INDEX('Annex 1 LV, HV and UMS charges'!$B$13:$B$44,MATCH($A141,'Annex 1 LV, HV and UMS charges'!$A$13:$A$44,0)),IF(INDEX('Annex 4 LDNO charges'!$B$12:$B$202,MATCH($A141,'Annex 4 LDNO charges'!$A$12:$A$202,0))=0,"",INDEX('Annex 4 LDNO charges'!$B$12:$B$202,MATCH($A141,'Annex 4 LDNO charges'!$A$12:$A$202,0))))</f>
        <v>K54</v>
      </c>
      <c r="C141" s="197">
        <f>IFERROR(INDEX('Annex 1 LV, HV and UMS charges'!$C$13:$C$44,MATCH($A141,'Annex 1 LV, HV and UMS charges'!$A$13:$A$44,0)),INDEX('Annex 4 LDNO charges'!$C$12:$C$202,MATCH($A141,'Annex 4 LDNO charges'!$A$12:$A$202,0)))</f>
        <v>0</v>
      </c>
      <c r="D141" s="181"/>
      <c r="E141" s="204">
        <v>0</v>
      </c>
    </row>
    <row r="142" spans="1:5" ht="20.100000000000001" customHeight="1" x14ac:dyDescent="0.2">
      <c r="A142" s="165" t="s">
        <v>573</v>
      </c>
      <c r="B142" s="196" t="str">
        <f>IFERROR(INDEX('Annex 1 LV, HV and UMS charges'!$B$13:$B$44,MATCH($A142,'Annex 1 LV, HV and UMS charges'!$A$13:$A$44,0)),IF(INDEX('Annex 4 LDNO charges'!$B$12:$B$202,MATCH($A142,'Annex 4 LDNO charges'!$A$12:$A$202,0))=0,"",INDEX('Annex 4 LDNO charges'!$B$12:$B$202,MATCH($A142,'Annex 4 LDNO charges'!$A$12:$A$202,0))))</f>
        <v>A60</v>
      </c>
      <c r="C142" s="197" t="str">
        <f>IFERROR(INDEX('Annex 1 LV, HV and UMS charges'!$C$13:$C$44,MATCH($A142,'Annex 1 LV, HV and UMS charges'!$A$13:$A$44,0)),INDEX('Annex 4 LDNO charges'!$C$12:$C$202,MATCH($A142,'Annex 4 LDNO charges'!$A$12:$A$202,0)))</f>
        <v>0, 1, 2</v>
      </c>
      <c r="D142" s="204">
        <v>0</v>
      </c>
      <c r="E142" s="204">
        <v>0</v>
      </c>
    </row>
    <row r="143" spans="1:5" ht="20.100000000000001" customHeight="1" x14ac:dyDescent="0.2">
      <c r="A143" s="165" t="s">
        <v>574</v>
      </c>
      <c r="B143" s="196" t="str">
        <f>IFERROR(INDEX('Annex 1 LV, HV and UMS charges'!$B$13:$B$44,MATCH($A143,'Annex 1 LV, HV and UMS charges'!$A$13:$A$44,0)),IF(INDEX('Annex 4 LDNO charges'!$B$12:$B$202,MATCH($A143,'Annex 4 LDNO charges'!$A$12:$A$202,0))=0,"",INDEX('Annex 4 LDNO charges'!$B$12:$B$202,MATCH($A143,'Annex 4 LDNO charges'!$A$12:$A$202,0))))</f>
        <v>C60</v>
      </c>
      <c r="C143" s="197" t="str">
        <f>IFERROR(INDEX('Annex 1 LV, HV and UMS charges'!$C$13:$C$44,MATCH($A143,'Annex 1 LV, HV and UMS charges'!$A$13:$A$44,0)),INDEX('Annex 4 LDNO charges'!$C$12:$C$202,MATCH($A143,'Annex 4 LDNO charges'!$A$12:$A$202,0)))</f>
        <v>0, 3, 4, 5-8</v>
      </c>
      <c r="D143" s="181"/>
      <c r="E143" s="204">
        <v>0</v>
      </c>
    </row>
    <row r="144" spans="1:5" ht="20.100000000000001" customHeight="1" x14ac:dyDescent="0.2">
      <c r="A144" s="165" t="s">
        <v>575</v>
      </c>
      <c r="B144" s="196" t="str">
        <f>IFERROR(INDEX('Annex 1 LV, HV and UMS charges'!$B$13:$B$44,MATCH($A144,'Annex 1 LV, HV and UMS charges'!$A$13:$A$44,0)),IF(INDEX('Annex 4 LDNO charges'!$B$12:$B$202,MATCH($A144,'Annex 4 LDNO charges'!$A$12:$A$202,0))=0,"",INDEX('Annex 4 LDNO charges'!$B$12:$B$202,MATCH($A144,'Annex 4 LDNO charges'!$A$12:$A$202,0))))</f>
        <v>C61</v>
      </c>
      <c r="C144" s="197" t="str">
        <f>IFERROR(INDEX('Annex 1 LV, HV and UMS charges'!$C$13:$C$44,MATCH($A144,'Annex 1 LV, HV and UMS charges'!$A$13:$A$44,0)),INDEX('Annex 4 LDNO charges'!$C$12:$C$202,MATCH($A144,'Annex 4 LDNO charges'!$A$12:$A$202,0)))</f>
        <v>0, 3, 4, 5-8</v>
      </c>
      <c r="D144" s="181"/>
      <c r="E144" s="204">
        <v>0</v>
      </c>
    </row>
    <row r="145" spans="1:5" ht="20.100000000000001" customHeight="1" x14ac:dyDescent="0.2">
      <c r="A145" s="165" t="s">
        <v>576</v>
      </c>
      <c r="B145" s="196" t="str">
        <f>IFERROR(INDEX('Annex 1 LV, HV and UMS charges'!$B$13:$B$44,MATCH($A145,'Annex 1 LV, HV and UMS charges'!$A$13:$A$44,0)),IF(INDEX('Annex 4 LDNO charges'!$B$12:$B$202,MATCH($A145,'Annex 4 LDNO charges'!$A$12:$A$202,0))=0,"",INDEX('Annex 4 LDNO charges'!$B$12:$B$202,MATCH($A145,'Annex 4 LDNO charges'!$A$12:$A$202,0))))</f>
        <v>C62</v>
      </c>
      <c r="C145" s="197" t="str">
        <f>IFERROR(INDEX('Annex 1 LV, HV and UMS charges'!$C$13:$C$44,MATCH($A145,'Annex 1 LV, HV and UMS charges'!$A$13:$A$44,0)),INDEX('Annex 4 LDNO charges'!$C$12:$C$202,MATCH($A145,'Annex 4 LDNO charges'!$A$12:$A$202,0)))</f>
        <v>0, 3, 4, 5-8</v>
      </c>
      <c r="D145" s="181"/>
      <c r="E145" s="204">
        <v>0</v>
      </c>
    </row>
    <row r="146" spans="1:5" ht="20.100000000000001" customHeight="1" x14ac:dyDescent="0.2">
      <c r="A146" s="165" t="s">
        <v>577</v>
      </c>
      <c r="B146" s="196" t="str">
        <f>IFERROR(INDEX('Annex 1 LV, HV and UMS charges'!$B$13:$B$44,MATCH($A146,'Annex 1 LV, HV and UMS charges'!$A$13:$A$44,0)),IF(INDEX('Annex 4 LDNO charges'!$B$12:$B$202,MATCH($A146,'Annex 4 LDNO charges'!$A$12:$A$202,0))=0,"",INDEX('Annex 4 LDNO charges'!$B$12:$B$202,MATCH($A146,'Annex 4 LDNO charges'!$A$12:$A$202,0))))</f>
        <v>C63</v>
      </c>
      <c r="C146" s="197" t="str">
        <f>IFERROR(INDEX('Annex 1 LV, HV and UMS charges'!$C$13:$C$44,MATCH($A146,'Annex 1 LV, HV and UMS charges'!$A$13:$A$44,0)),INDEX('Annex 4 LDNO charges'!$C$12:$C$202,MATCH($A146,'Annex 4 LDNO charges'!$A$12:$A$202,0)))</f>
        <v>0, 3, 4, 5-8</v>
      </c>
      <c r="D146" s="181"/>
      <c r="E146" s="204">
        <v>0</v>
      </c>
    </row>
    <row r="147" spans="1:5" ht="20.100000000000001" customHeight="1" x14ac:dyDescent="0.2">
      <c r="A147" s="165" t="s">
        <v>578</v>
      </c>
      <c r="B147" s="196" t="str">
        <f>IFERROR(INDEX('Annex 1 LV, HV and UMS charges'!$B$13:$B$44,MATCH($A147,'Annex 1 LV, HV and UMS charges'!$A$13:$A$44,0)),IF(INDEX('Annex 4 LDNO charges'!$B$12:$B$202,MATCH($A147,'Annex 4 LDNO charges'!$A$12:$A$202,0))=0,"",INDEX('Annex 4 LDNO charges'!$B$12:$B$202,MATCH($A147,'Annex 4 LDNO charges'!$A$12:$A$202,0))))</f>
        <v>C64</v>
      </c>
      <c r="C147" s="197" t="str">
        <f>IFERROR(INDEX('Annex 1 LV, HV and UMS charges'!$C$13:$C$44,MATCH($A147,'Annex 1 LV, HV and UMS charges'!$A$13:$A$44,0)),INDEX('Annex 4 LDNO charges'!$C$12:$C$202,MATCH($A147,'Annex 4 LDNO charges'!$A$12:$A$202,0)))</f>
        <v>0, 3, 4, 5-8</v>
      </c>
      <c r="D147" s="181"/>
      <c r="E147" s="204">
        <v>0</v>
      </c>
    </row>
    <row r="148" spans="1:5" ht="20.100000000000001" customHeight="1" x14ac:dyDescent="0.2">
      <c r="A148" s="165" t="s">
        <v>439</v>
      </c>
      <c r="B148" s="196" t="str">
        <f>IFERROR(INDEX('Annex 1 LV, HV and UMS charges'!$B$13:$B$44,MATCH($A148,'Annex 1 LV, HV and UMS charges'!$A$13:$A$44,0)),IF(INDEX('Annex 4 LDNO charges'!$B$12:$B$202,MATCH($A148,'Annex 4 LDNO charges'!$A$12:$A$202,0))=0,"",INDEX('Annex 4 LDNO charges'!$B$12:$B$202,MATCH($A148,'Annex 4 LDNO charges'!$A$12:$A$202,0))))</f>
        <v>E60</v>
      </c>
      <c r="C148" s="197">
        <f>IFERROR(INDEX('Annex 1 LV, HV and UMS charges'!$C$13:$C$44,MATCH($A148,'Annex 1 LV, HV and UMS charges'!$A$13:$A$44,0)),INDEX('Annex 4 LDNO charges'!$C$12:$C$202,MATCH($A148,'Annex 4 LDNO charges'!$A$12:$A$202,0)))</f>
        <v>0</v>
      </c>
      <c r="D148" s="181"/>
      <c r="E148" s="204">
        <v>0</v>
      </c>
    </row>
    <row r="149" spans="1:5" ht="20.100000000000001" customHeight="1" x14ac:dyDescent="0.2">
      <c r="A149" s="165" t="s">
        <v>440</v>
      </c>
      <c r="B149" s="196" t="str">
        <f>IFERROR(INDEX('Annex 1 LV, HV and UMS charges'!$B$13:$B$44,MATCH($A149,'Annex 1 LV, HV and UMS charges'!$A$13:$A$44,0)),IF(INDEX('Annex 4 LDNO charges'!$B$12:$B$202,MATCH($A149,'Annex 4 LDNO charges'!$A$12:$A$202,0))=0,"",INDEX('Annex 4 LDNO charges'!$B$12:$B$202,MATCH($A149,'Annex 4 LDNO charges'!$A$12:$A$202,0))))</f>
        <v>E61</v>
      </c>
      <c r="C149" s="197">
        <f>IFERROR(INDEX('Annex 1 LV, HV and UMS charges'!$C$13:$C$44,MATCH($A149,'Annex 1 LV, HV and UMS charges'!$A$13:$A$44,0)),INDEX('Annex 4 LDNO charges'!$C$12:$C$202,MATCH($A149,'Annex 4 LDNO charges'!$A$12:$A$202,0)))</f>
        <v>0</v>
      </c>
      <c r="D149" s="181"/>
      <c r="E149" s="204">
        <v>0</v>
      </c>
    </row>
    <row r="150" spans="1:5" ht="20.100000000000001" customHeight="1" x14ac:dyDescent="0.2">
      <c r="A150" s="165" t="s">
        <v>441</v>
      </c>
      <c r="B150" s="196" t="str">
        <f>IFERROR(INDEX('Annex 1 LV, HV and UMS charges'!$B$13:$B$44,MATCH($A150,'Annex 1 LV, HV and UMS charges'!$A$13:$A$44,0)),IF(INDEX('Annex 4 LDNO charges'!$B$12:$B$202,MATCH($A150,'Annex 4 LDNO charges'!$A$12:$A$202,0))=0,"",INDEX('Annex 4 LDNO charges'!$B$12:$B$202,MATCH($A150,'Annex 4 LDNO charges'!$A$12:$A$202,0))))</f>
        <v>E62</v>
      </c>
      <c r="C150" s="197">
        <f>IFERROR(INDEX('Annex 1 LV, HV and UMS charges'!$C$13:$C$44,MATCH($A150,'Annex 1 LV, HV and UMS charges'!$A$13:$A$44,0)),INDEX('Annex 4 LDNO charges'!$C$12:$C$202,MATCH($A150,'Annex 4 LDNO charges'!$A$12:$A$202,0)))</f>
        <v>0</v>
      </c>
      <c r="D150" s="181"/>
      <c r="E150" s="204">
        <v>0</v>
      </c>
    </row>
    <row r="151" spans="1:5" ht="20.100000000000001" customHeight="1" x14ac:dyDescent="0.2">
      <c r="A151" s="165" t="s">
        <v>442</v>
      </c>
      <c r="B151" s="196" t="str">
        <f>IFERROR(INDEX('Annex 1 LV, HV and UMS charges'!$B$13:$B$44,MATCH($A151,'Annex 1 LV, HV and UMS charges'!$A$13:$A$44,0)),IF(INDEX('Annex 4 LDNO charges'!$B$12:$B$202,MATCH($A151,'Annex 4 LDNO charges'!$A$12:$A$202,0))=0,"",INDEX('Annex 4 LDNO charges'!$B$12:$B$202,MATCH($A151,'Annex 4 LDNO charges'!$A$12:$A$202,0))))</f>
        <v>E63</v>
      </c>
      <c r="C151" s="197">
        <f>IFERROR(INDEX('Annex 1 LV, HV and UMS charges'!$C$13:$C$44,MATCH($A151,'Annex 1 LV, HV and UMS charges'!$A$13:$A$44,0)),INDEX('Annex 4 LDNO charges'!$C$12:$C$202,MATCH($A151,'Annex 4 LDNO charges'!$A$12:$A$202,0)))</f>
        <v>0</v>
      </c>
      <c r="D151" s="181"/>
      <c r="E151" s="204">
        <v>0</v>
      </c>
    </row>
    <row r="152" spans="1:5" ht="20.100000000000001" customHeight="1" x14ac:dyDescent="0.2">
      <c r="A152" s="165" t="s">
        <v>443</v>
      </c>
      <c r="B152" s="196" t="str">
        <f>IFERROR(INDEX('Annex 1 LV, HV and UMS charges'!$B$13:$B$44,MATCH($A152,'Annex 1 LV, HV and UMS charges'!$A$13:$A$44,0)),IF(INDEX('Annex 4 LDNO charges'!$B$12:$B$202,MATCH($A152,'Annex 4 LDNO charges'!$A$12:$A$202,0))=0,"",INDEX('Annex 4 LDNO charges'!$B$12:$B$202,MATCH($A152,'Annex 4 LDNO charges'!$A$12:$A$202,0))))</f>
        <v>E64</v>
      </c>
      <c r="C152" s="197">
        <f>IFERROR(INDEX('Annex 1 LV, HV and UMS charges'!$C$13:$C$44,MATCH($A152,'Annex 1 LV, HV and UMS charges'!$A$13:$A$44,0)),INDEX('Annex 4 LDNO charges'!$C$12:$C$202,MATCH($A152,'Annex 4 LDNO charges'!$A$12:$A$202,0)))</f>
        <v>0</v>
      </c>
      <c r="D152" s="181"/>
      <c r="E152" s="204">
        <v>0</v>
      </c>
    </row>
    <row r="153" spans="1:5" ht="20.100000000000001" customHeight="1" x14ac:dyDescent="0.2">
      <c r="A153" s="165" t="s">
        <v>444</v>
      </c>
      <c r="B153" s="196" t="str">
        <f>IFERROR(INDEX('Annex 1 LV, HV and UMS charges'!$B$13:$B$44,MATCH($A153,'Annex 1 LV, HV and UMS charges'!$A$13:$A$44,0)),IF(INDEX('Annex 4 LDNO charges'!$B$12:$B$202,MATCH($A153,'Annex 4 LDNO charges'!$A$12:$A$202,0))=0,"",INDEX('Annex 4 LDNO charges'!$B$12:$B$202,MATCH($A153,'Annex 4 LDNO charges'!$A$12:$A$202,0))))</f>
        <v>J60</v>
      </c>
      <c r="C153" s="197">
        <f>IFERROR(INDEX('Annex 1 LV, HV and UMS charges'!$C$13:$C$44,MATCH($A153,'Annex 1 LV, HV and UMS charges'!$A$13:$A$44,0)),INDEX('Annex 4 LDNO charges'!$C$12:$C$202,MATCH($A153,'Annex 4 LDNO charges'!$A$12:$A$202,0)))</f>
        <v>0</v>
      </c>
      <c r="D153" s="181"/>
      <c r="E153" s="204">
        <v>0</v>
      </c>
    </row>
    <row r="154" spans="1:5" ht="20.100000000000001" customHeight="1" x14ac:dyDescent="0.2">
      <c r="A154" s="165" t="s">
        <v>445</v>
      </c>
      <c r="B154" s="196" t="str">
        <f>IFERROR(INDEX('Annex 1 LV, HV and UMS charges'!$B$13:$B$44,MATCH($A154,'Annex 1 LV, HV and UMS charges'!$A$13:$A$44,0)),IF(INDEX('Annex 4 LDNO charges'!$B$12:$B$202,MATCH($A154,'Annex 4 LDNO charges'!$A$12:$A$202,0))=0,"",INDEX('Annex 4 LDNO charges'!$B$12:$B$202,MATCH($A154,'Annex 4 LDNO charges'!$A$12:$A$202,0))))</f>
        <v>J61</v>
      </c>
      <c r="C154" s="197">
        <f>IFERROR(INDEX('Annex 1 LV, HV and UMS charges'!$C$13:$C$44,MATCH($A154,'Annex 1 LV, HV and UMS charges'!$A$13:$A$44,0)),INDEX('Annex 4 LDNO charges'!$C$12:$C$202,MATCH($A154,'Annex 4 LDNO charges'!$A$12:$A$202,0)))</f>
        <v>0</v>
      </c>
      <c r="D154" s="181"/>
      <c r="E154" s="204">
        <v>0</v>
      </c>
    </row>
    <row r="155" spans="1:5" ht="20.100000000000001" customHeight="1" x14ac:dyDescent="0.2">
      <c r="A155" s="165" t="s">
        <v>446</v>
      </c>
      <c r="B155" s="196" t="str">
        <f>IFERROR(INDEX('Annex 1 LV, HV and UMS charges'!$B$13:$B$44,MATCH($A155,'Annex 1 LV, HV and UMS charges'!$A$13:$A$44,0)),IF(INDEX('Annex 4 LDNO charges'!$B$12:$B$202,MATCH($A155,'Annex 4 LDNO charges'!$A$12:$A$202,0))=0,"",INDEX('Annex 4 LDNO charges'!$B$12:$B$202,MATCH($A155,'Annex 4 LDNO charges'!$A$12:$A$202,0))))</f>
        <v>J62</v>
      </c>
      <c r="C155" s="197">
        <f>IFERROR(INDEX('Annex 1 LV, HV and UMS charges'!$C$13:$C$44,MATCH($A155,'Annex 1 LV, HV and UMS charges'!$A$13:$A$44,0)),INDEX('Annex 4 LDNO charges'!$C$12:$C$202,MATCH($A155,'Annex 4 LDNO charges'!$A$12:$A$202,0)))</f>
        <v>0</v>
      </c>
      <c r="D155" s="181"/>
      <c r="E155" s="204">
        <v>0</v>
      </c>
    </row>
    <row r="156" spans="1:5" ht="20.100000000000001" customHeight="1" x14ac:dyDescent="0.2">
      <c r="A156" s="165" t="s">
        <v>447</v>
      </c>
      <c r="B156" s="196" t="str">
        <f>IFERROR(INDEX('Annex 1 LV, HV and UMS charges'!$B$13:$B$44,MATCH($A156,'Annex 1 LV, HV and UMS charges'!$A$13:$A$44,0)),IF(INDEX('Annex 4 LDNO charges'!$B$12:$B$202,MATCH($A156,'Annex 4 LDNO charges'!$A$12:$A$202,0))=0,"",INDEX('Annex 4 LDNO charges'!$B$12:$B$202,MATCH($A156,'Annex 4 LDNO charges'!$A$12:$A$202,0))))</f>
        <v>J63</v>
      </c>
      <c r="C156" s="197">
        <f>IFERROR(INDEX('Annex 1 LV, HV and UMS charges'!$C$13:$C$44,MATCH($A156,'Annex 1 LV, HV and UMS charges'!$A$13:$A$44,0)),INDEX('Annex 4 LDNO charges'!$C$12:$C$202,MATCH($A156,'Annex 4 LDNO charges'!$A$12:$A$202,0)))</f>
        <v>0</v>
      </c>
      <c r="D156" s="181"/>
      <c r="E156" s="204">
        <v>0</v>
      </c>
    </row>
    <row r="157" spans="1:5" ht="20.100000000000001" customHeight="1" x14ac:dyDescent="0.2">
      <c r="A157" s="165" t="s">
        <v>448</v>
      </c>
      <c r="B157" s="196" t="str">
        <f>IFERROR(INDEX('Annex 1 LV, HV and UMS charges'!$B$13:$B$44,MATCH($A157,'Annex 1 LV, HV and UMS charges'!$A$13:$A$44,0)),IF(INDEX('Annex 4 LDNO charges'!$B$12:$B$202,MATCH($A157,'Annex 4 LDNO charges'!$A$12:$A$202,0))=0,"",INDEX('Annex 4 LDNO charges'!$B$12:$B$202,MATCH($A157,'Annex 4 LDNO charges'!$A$12:$A$202,0))))</f>
        <v>J64</v>
      </c>
      <c r="C157" s="197">
        <f>IFERROR(INDEX('Annex 1 LV, HV and UMS charges'!$C$13:$C$44,MATCH($A157,'Annex 1 LV, HV and UMS charges'!$A$13:$A$44,0)),INDEX('Annex 4 LDNO charges'!$C$12:$C$202,MATCH($A157,'Annex 4 LDNO charges'!$A$12:$A$202,0)))</f>
        <v>0</v>
      </c>
      <c r="D157" s="181"/>
      <c r="E157" s="204">
        <v>0</v>
      </c>
    </row>
    <row r="158" spans="1:5" ht="20.100000000000001" customHeight="1" x14ac:dyDescent="0.2">
      <c r="A158" s="165" t="s">
        <v>449</v>
      </c>
      <c r="B158" s="196" t="str">
        <f>IFERROR(INDEX('Annex 1 LV, HV and UMS charges'!$B$13:$B$44,MATCH($A158,'Annex 1 LV, HV and UMS charges'!$A$13:$A$44,0)),IF(INDEX('Annex 4 LDNO charges'!$B$12:$B$202,MATCH($A158,'Annex 4 LDNO charges'!$A$12:$A$202,0))=0,"",INDEX('Annex 4 LDNO charges'!$B$12:$B$202,MATCH($A158,'Annex 4 LDNO charges'!$A$12:$A$202,0))))</f>
        <v>K60</v>
      </c>
      <c r="C158" s="197">
        <f>IFERROR(INDEX('Annex 1 LV, HV and UMS charges'!$C$13:$C$44,MATCH($A158,'Annex 1 LV, HV and UMS charges'!$A$13:$A$44,0)),INDEX('Annex 4 LDNO charges'!$C$12:$C$202,MATCH($A158,'Annex 4 LDNO charges'!$A$12:$A$202,0)))</f>
        <v>0</v>
      </c>
      <c r="D158" s="181"/>
      <c r="E158" s="204">
        <v>0</v>
      </c>
    </row>
    <row r="159" spans="1:5" ht="20.100000000000001" customHeight="1" x14ac:dyDescent="0.2">
      <c r="A159" s="165" t="s">
        <v>450</v>
      </c>
      <c r="B159" s="196" t="str">
        <f>IFERROR(INDEX('Annex 1 LV, HV and UMS charges'!$B$13:$B$44,MATCH($A159,'Annex 1 LV, HV and UMS charges'!$A$13:$A$44,0)),IF(INDEX('Annex 4 LDNO charges'!$B$12:$B$202,MATCH($A159,'Annex 4 LDNO charges'!$A$12:$A$202,0))=0,"",INDEX('Annex 4 LDNO charges'!$B$12:$B$202,MATCH($A159,'Annex 4 LDNO charges'!$A$12:$A$202,0))))</f>
        <v>K61</v>
      </c>
      <c r="C159" s="197">
        <f>IFERROR(INDEX('Annex 1 LV, HV and UMS charges'!$C$13:$C$44,MATCH($A159,'Annex 1 LV, HV and UMS charges'!$A$13:$A$44,0)),INDEX('Annex 4 LDNO charges'!$C$12:$C$202,MATCH($A159,'Annex 4 LDNO charges'!$A$12:$A$202,0)))</f>
        <v>0</v>
      </c>
      <c r="D159" s="181"/>
      <c r="E159" s="204">
        <v>0</v>
      </c>
    </row>
    <row r="160" spans="1:5" ht="20.100000000000001" customHeight="1" x14ac:dyDescent="0.2">
      <c r="A160" s="165" t="s">
        <v>451</v>
      </c>
      <c r="B160" s="196" t="str">
        <f>IFERROR(INDEX('Annex 1 LV, HV and UMS charges'!$B$13:$B$44,MATCH($A160,'Annex 1 LV, HV and UMS charges'!$A$13:$A$44,0)),IF(INDEX('Annex 4 LDNO charges'!$B$12:$B$202,MATCH($A160,'Annex 4 LDNO charges'!$A$12:$A$202,0))=0,"",INDEX('Annex 4 LDNO charges'!$B$12:$B$202,MATCH($A160,'Annex 4 LDNO charges'!$A$12:$A$202,0))))</f>
        <v>K62</v>
      </c>
      <c r="C160" s="197">
        <f>IFERROR(INDEX('Annex 1 LV, HV and UMS charges'!$C$13:$C$44,MATCH($A160,'Annex 1 LV, HV and UMS charges'!$A$13:$A$44,0)),INDEX('Annex 4 LDNO charges'!$C$12:$C$202,MATCH($A160,'Annex 4 LDNO charges'!$A$12:$A$202,0)))</f>
        <v>0</v>
      </c>
      <c r="D160" s="181"/>
      <c r="E160" s="204">
        <v>0</v>
      </c>
    </row>
    <row r="161" spans="1:5" ht="20.100000000000001" customHeight="1" x14ac:dyDescent="0.2">
      <c r="A161" s="165" t="s">
        <v>452</v>
      </c>
      <c r="B161" s="196" t="str">
        <f>IFERROR(INDEX('Annex 1 LV, HV and UMS charges'!$B$13:$B$44,MATCH($A161,'Annex 1 LV, HV and UMS charges'!$A$13:$A$44,0)),IF(INDEX('Annex 4 LDNO charges'!$B$12:$B$202,MATCH($A161,'Annex 4 LDNO charges'!$A$12:$A$202,0))=0,"",INDEX('Annex 4 LDNO charges'!$B$12:$B$202,MATCH($A161,'Annex 4 LDNO charges'!$A$12:$A$202,0))))</f>
        <v>K63</v>
      </c>
      <c r="C161" s="197">
        <f>IFERROR(INDEX('Annex 1 LV, HV and UMS charges'!$C$13:$C$44,MATCH($A161,'Annex 1 LV, HV and UMS charges'!$A$13:$A$44,0)),INDEX('Annex 4 LDNO charges'!$C$12:$C$202,MATCH($A161,'Annex 4 LDNO charges'!$A$12:$A$202,0)))</f>
        <v>0</v>
      </c>
      <c r="D161" s="181"/>
      <c r="E161" s="204">
        <v>0</v>
      </c>
    </row>
    <row r="162" spans="1:5" ht="20.100000000000001" customHeight="1" x14ac:dyDescent="0.2">
      <c r="A162" s="165" t="s">
        <v>453</v>
      </c>
      <c r="B162" s="196" t="str">
        <f>IFERROR(INDEX('Annex 1 LV, HV and UMS charges'!$B$13:$B$44,MATCH($A162,'Annex 1 LV, HV and UMS charges'!$A$13:$A$44,0)),IF(INDEX('Annex 4 LDNO charges'!$B$12:$B$202,MATCH($A162,'Annex 4 LDNO charges'!$A$12:$A$202,0))=0,"",INDEX('Annex 4 LDNO charges'!$B$12:$B$202,MATCH($A162,'Annex 4 LDNO charges'!$A$12:$A$202,0))))</f>
        <v>K64</v>
      </c>
      <c r="C162" s="197">
        <f>IFERROR(INDEX('Annex 1 LV, HV and UMS charges'!$C$13:$C$44,MATCH($A162,'Annex 1 LV, HV and UMS charges'!$A$13:$A$44,0)),INDEX('Annex 4 LDNO charges'!$C$12:$C$202,MATCH($A162,'Annex 4 LDNO charges'!$A$12:$A$202,0)))</f>
        <v>0</v>
      </c>
      <c r="D162" s="181"/>
      <c r="E162" s="204">
        <v>0</v>
      </c>
    </row>
    <row r="163" spans="1:5" ht="20.100000000000001" customHeight="1" x14ac:dyDescent="0.2">
      <c r="A163" s="206" t="s">
        <v>611</v>
      </c>
      <c r="B163" s="2"/>
      <c r="C163" s="3"/>
    </row>
    <row r="164" spans="1:5" ht="20.100000000000001" customHeight="1" x14ac:dyDescent="0.2">
      <c r="A164" s="206" t="s">
        <v>612</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4"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13"/>
  <sheetViews>
    <sheetView zoomScale="90" zoomScaleNormal="90" zoomScaleSheetLayoutView="100" workbookViewId="0"/>
  </sheetViews>
  <sheetFormatPr defaultRowHeight="27.75" customHeight="1" x14ac:dyDescent="0.2"/>
  <cols>
    <col min="1" max="1" width="18.85546875" style="2" bestFit="1" customWidth="1"/>
    <col min="2" max="2" width="47.710937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50" t="str">
        <f>Overview!B4&amp; " - Effective from "&amp;Overview!D4&amp;" - "&amp;Overview!E4&amp;" Nodal/Zonal charges"</f>
        <v>London Power Networks - Effective from 1 April 2027 - Final Nodal/Zonal charges</v>
      </c>
      <c r="B2" s="251"/>
      <c r="C2" s="251"/>
      <c r="D2" s="252"/>
    </row>
    <row r="3" spans="1:4" s="11" customFormat="1" ht="8.25" customHeight="1" x14ac:dyDescent="0.2"/>
    <row r="4" spans="1:4" ht="60.75" customHeight="1" x14ac:dyDescent="0.2">
      <c r="A4" s="20" t="s">
        <v>45</v>
      </c>
      <c r="B4" s="20" t="s">
        <v>0</v>
      </c>
      <c r="C4" s="20" t="s">
        <v>29</v>
      </c>
      <c r="D4" s="20" t="s">
        <v>30</v>
      </c>
    </row>
    <row r="5" spans="1:4" ht="20.100000000000001" customHeight="1" x14ac:dyDescent="0.2">
      <c r="A5" s="7" t="s">
        <v>1014</v>
      </c>
      <c r="B5" s="8" t="s">
        <v>1015</v>
      </c>
      <c r="C5" s="189">
        <v>5.2100263327207763</v>
      </c>
      <c r="D5" s="189">
        <v>3.2557064819052953E-3</v>
      </c>
    </row>
    <row r="6" spans="1:4" ht="20.100000000000001" customHeight="1" x14ac:dyDescent="0.2">
      <c r="A6" s="7" t="s">
        <v>1016</v>
      </c>
      <c r="B6" s="8" t="s">
        <v>1015</v>
      </c>
      <c r="C6" s="189">
        <v>0.34981577500370098</v>
      </c>
      <c r="D6" s="189">
        <v>-2.929590305344018E-4</v>
      </c>
    </row>
    <row r="7" spans="1:4" ht="20.100000000000001" customHeight="1" x14ac:dyDescent="0.2">
      <c r="A7" s="7" t="s">
        <v>1017</v>
      </c>
      <c r="B7" s="8" t="s">
        <v>1018</v>
      </c>
      <c r="C7" s="189">
        <v>2.3838268239406348</v>
      </c>
      <c r="D7" s="189">
        <v>-1.8123474181540425E-4</v>
      </c>
    </row>
    <row r="8" spans="1:4" ht="20.100000000000001" customHeight="1" x14ac:dyDescent="0.2">
      <c r="A8" s="7" t="s">
        <v>1019</v>
      </c>
      <c r="B8" s="8" t="s">
        <v>1020</v>
      </c>
      <c r="C8" s="189">
        <v>0</v>
      </c>
      <c r="D8" s="189">
        <v>0</v>
      </c>
    </row>
    <row r="9" spans="1:4" ht="20.100000000000001" customHeight="1" x14ac:dyDescent="0.2">
      <c r="A9" s="7" t="s">
        <v>1021</v>
      </c>
      <c r="B9" s="8" t="s">
        <v>1022</v>
      </c>
      <c r="C9" s="189">
        <v>0</v>
      </c>
      <c r="D9" s="189">
        <v>9.7971282728184124E-3</v>
      </c>
    </row>
    <row r="10" spans="1:4" ht="20.100000000000001" customHeight="1" x14ac:dyDescent="0.2">
      <c r="A10" s="7" t="s">
        <v>1023</v>
      </c>
      <c r="B10" s="8" t="s">
        <v>1022</v>
      </c>
      <c r="C10" s="189">
        <v>0</v>
      </c>
      <c r="D10" s="189">
        <v>5.8944888394621957E-3</v>
      </c>
    </row>
    <row r="11" spans="1:4" ht="20.100000000000001" customHeight="1" x14ac:dyDescent="0.2">
      <c r="A11" s="7" t="s">
        <v>1024</v>
      </c>
      <c r="B11" s="8" t="s">
        <v>1025</v>
      </c>
      <c r="C11" s="189">
        <v>3.075241544349395</v>
      </c>
      <c r="D11" s="189">
        <v>11.289295750577933</v>
      </c>
    </row>
    <row r="12" spans="1:4" ht="20.100000000000001" customHeight="1" x14ac:dyDescent="0.2">
      <c r="A12" s="7" t="s">
        <v>1026</v>
      </c>
      <c r="B12" s="8" t="s">
        <v>1025</v>
      </c>
      <c r="C12" s="189">
        <v>3.0933137968698525</v>
      </c>
      <c r="D12" s="189">
        <v>8.8409186111353986</v>
      </c>
    </row>
    <row r="13" spans="1:4" ht="20.100000000000001" customHeight="1" x14ac:dyDescent="0.2">
      <c r="A13" s="7" t="s">
        <v>1027</v>
      </c>
      <c r="B13" s="8" t="s">
        <v>1028</v>
      </c>
      <c r="C13" s="189">
        <v>6.3057712754199302E-2</v>
      </c>
      <c r="D13" s="189">
        <v>0.17993939260822683</v>
      </c>
    </row>
    <row r="14" spans="1:4" ht="20.100000000000001" customHeight="1" x14ac:dyDescent="0.2">
      <c r="A14" s="7" t="s">
        <v>1029</v>
      </c>
      <c r="B14" s="8" t="s">
        <v>1028</v>
      </c>
      <c r="C14" s="189">
        <v>1.4700669904717478</v>
      </c>
      <c r="D14" s="189">
        <v>0.4718881088625333</v>
      </c>
    </row>
    <row r="15" spans="1:4" ht="20.100000000000001" customHeight="1" x14ac:dyDescent="0.2">
      <c r="A15" s="7" t="s">
        <v>1030</v>
      </c>
      <c r="B15" s="8" t="s">
        <v>1031</v>
      </c>
      <c r="C15" s="189">
        <v>0</v>
      </c>
      <c r="D15" s="189">
        <v>1.170168587184095</v>
      </c>
    </row>
    <row r="16" spans="1:4" ht="20.100000000000001" customHeight="1" x14ac:dyDescent="0.2">
      <c r="A16" s="7" t="s">
        <v>1032</v>
      </c>
      <c r="B16" s="8" t="s">
        <v>1031</v>
      </c>
      <c r="C16" s="189">
        <v>0</v>
      </c>
      <c r="D16" s="189">
        <v>1.1688223449930715</v>
      </c>
    </row>
    <row r="17" spans="1:4" ht="20.100000000000001" customHeight="1" x14ac:dyDescent="0.2">
      <c r="A17" s="7" t="s">
        <v>1033</v>
      </c>
      <c r="B17" s="8" t="s">
        <v>1031</v>
      </c>
      <c r="C17" s="189">
        <v>0</v>
      </c>
      <c r="D17" s="189">
        <v>1.1755627574666558</v>
      </c>
    </row>
    <row r="18" spans="1:4" ht="20.100000000000001" customHeight="1" x14ac:dyDescent="0.2">
      <c r="A18" s="7" t="s">
        <v>1034</v>
      </c>
      <c r="B18" s="8" t="s">
        <v>1031</v>
      </c>
      <c r="C18" s="189">
        <v>0</v>
      </c>
      <c r="D18" s="189">
        <v>1.1657891572730925</v>
      </c>
    </row>
    <row r="19" spans="1:4" ht="20.100000000000001" customHeight="1" x14ac:dyDescent="0.2">
      <c r="A19" s="7" t="s">
        <v>1035</v>
      </c>
      <c r="B19" s="8" t="s">
        <v>1036</v>
      </c>
      <c r="C19" s="189">
        <v>0</v>
      </c>
      <c r="D19" s="189">
        <v>1.7777058071349638</v>
      </c>
    </row>
    <row r="20" spans="1:4" ht="20.100000000000001" customHeight="1" x14ac:dyDescent="0.2">
      <c r="A20" s="7" t="s">
        <v>1037</v>
      </c>
      <c r="B20" s="8" t="s">
        <v>1036</v>
      </c>
      <c r="C20" s="189">
        <v>0</v>
      </c>
      <c r="D20" s="189">
        <v>1.1935036348449475</v>
      </c>
    </row>
    <row r="21" spans="1:4" ht="20.100000000000001" customHeight="1" x14ac:dyDescent="0.2">
      <c r="A21" s="7" t="s">
        <v>1038</v>
      </c>
      <c r="B21" s="8" t="s">
        <v>1039</v>
      </c>
      <c r="C21" s="189">
        <v>0</v>
      </c>
      <c r="D21" s="189">
        <v>-1.4321045274654587E-2</v>
      </c>
    </row>
    <row r="22" spans="1:4" ht="20.100000000000001" customHeight="1" x14ac:dyDescent="0.2">
      <c r="A22" s="7" t="s">
        <v>1042</v>
      </c>
      <c r="B22" s="8" t="s">
        <v>1043</v>
      </c>
      <c r="C22" s="189">
        <v>3.1627393236497778</v>
      </c>
      <c r="D22" s="189">
        <v>1.4432938713485206</v>
      </c>
    </row>
    <row r="23" spans="1:4" ht="20.100000000000001" customHeight="1" x14ac:dyDescent="0.2">
      <c r="A23" s="7" t="s">
        <v>1044</v>
      </c>
      <c r="B23" s="8" t="s">
        <v>1043</v>
      </c>
      <c r="C23" s="189">
        <v>1.5544417440461444</v>
      </c>
      <c r="D23" s="189">
        <v>2.0148360664643437</v>
      </c>
    </row>
    <row r="24" spans="1:4" ht="20.100000000000001" customHeight="1" x14ac:dyDescent="0.2">
      <c r="A24" s="7" t="s">
        <v>1040</v>
      </c>
      <c r="B24" s="8" t="s">
        <v>1041</v>
      </c>
      <c r="C24" s="189">
        <v>0</v>
      </c>
      <c r="D24" s="189">
        <v>-1.7939052210925519E-4</v>
      </c>
    </row>
    <row r="25" spans="1:4" ht="20.100000000000001" customHeight="1" x14ac:dyDescent="0.2">
      <c r="A25" s="7" t="s">
        <v>1072</v>
      </c>
      <c r="B25" s="8" t="s">
        <v>1073</v>
      </c>
      <c r="C25" s="189">
        <v>7.4737858368902274E-2</v>
      </c>
      <c r="D25" s="189">
        <v>4.3913469695430738</v>
      </c>
    </row>
    <row r="26" spans="1:4" ht="20.100000000000001" customHeight="1" x14ac:dyDescent="0.2">
      <c r="A26" s="7" t="s">
        <v>1074</v>
      </c>
      <c r="B26" s="8" t="s">
        <v>1073</v>
      </c>
      <c r="C26" s="189">
        <v>2.2532048860928876E-2</v>
      </c>
      <c r="D26" s="189">
        <v>4.7765206560752453</v>
      </c>
    </row>
    <row r="27" spans="1:4" ht="20.100000000000001" customHeight="1" x14ac:dyDescent="0.2">
      <c r="A27" s="7" t="s">
        <v>1051</v>
      </c>
      <c r="B27" s="8" t="s">
        <v>1052</v>
      </c>
      <c r="C27" s="189">
        <v>0.16193772986609112</v>
      </c>
      <c r="D27" s="189">
        <v>1.5541374085030628</v>
      </c>
    </row>
    <row r="28" spans="1:4" ht="20.100000000000001" customHeight="1" x14ac:dyDescent="0.2">
      <c r="A28" s="7" t="s">
        <v>1053</v>
      </c>
      <c r="B28" s="8" t="s">
        <v>1054</v>
      </c>
      <c r="C28" s="189">
        <v>0</v>
      </c>
      <c r="D28" s="189">
        <v>6.0178829272613352E-2</v>
      </c>
    </row>
    <row r="29" spans="1:4" ht="20.100000000000001" customHeight="1" x14ac:dyDescent="0.2">
      <c r="A29" s="7" t="s">
        <v>1055</v>
      </c>
      <c r="B29" s="8" t="s">
        <v>1054</v>
      </c>
      <c r="C29" s="189">
        <v>0</v>
      </c>
      <c r="D29" s="189">
        <v>2.7159716837390338E-2</v>
      </c>
    </row>
    <row r="30" spans="1:4" ht="20.100000000000001" customHeight="1" x14ac:dyDescent="0.2">
      <c r="A30" s="7" t="s">
        <v>1056</v>
      </c>
      <c r="B30" s="8" t="s">
        <v>1054</v>
      </c>
      <c r="C30" s="189">
        <v>0</v>
      </c>
      <c r="D30" s="189">
        <v>8.2741426603255563E-3</v>
      </c>
    </row>
    <row r="31" spans="1:4" ht="20.100000000000001" customHeight="1" x14ac:dyDescent="0.2">
      <c r="A31" s="7" t="s">
        <v>1057</v>
      </c>
      <c r="B31" s="8" t="s">
        <v>1058</v>
      </c>
      <c r="C31" s="189">
        <v>0.98739573948174042</v>
      </c>
      <c r="D31" s="189">
        <v>3.9235855589134152</v>
      </c>
    </row>
    <row r="32" spans="1:4" ht="20.100000000000001" customHeight="1" x14ac:dyDescent="0.2">
      <c r="A32" s="7" t="s">
        <v>1059</v>
      </c>
      <c r="B32" s="8" t="s">
        <v>1058</v>
      </c>
      <c r="C32" s="189">
        <v>0.84625966671409047</v>
      </c>
      <c r="D32" s="189">
        <v>3.890849558238195</v>
      </c>
    </row>
    <row r="33" spans="1:4" ht="20.100000000000001" customHeight="1" x14ac:dyDescent="0.2">
      <c r="A33" s="7" t="s">
        <v>1067</v>
      </c>
      <c r="B33" s="8" t="s">
        <v>1068</v>
      </c>
      <c r="C33" s="189">
        <v>6.3026210620461445</v>
      </c>
      <c r="D33" s="189">
        <v>2.6391496093661129</v>
      </c>
    </row>
    <row r="34" spans="1:4" ht="20.100000000000001" customHeight="1" x14ac:dyDescent="0.2">
      <c r="A34" s="7" t="s">
        <v>1064</v>
      </c>
      <c r="B34" s="8" t="s">
        <v>1065</v>
      </c>
      <c r="C34" s="189">
        <v>0</v>
      </c>
      <c r="D34" s="189">
        <v>1.494834322439567E-2</v>
      </c>
    </row>
    <row r="35" spans="1:4" ht="20.100000000000001" customHeight="1" x14ac:dyDescent="0.2">
      <c r="A35" s="7" t="s">
        <v>1066</v>
      </c>
      <c r="B35" s="8" t="s">
        <v>1065</v>
      </c>
      <c r="C35" s="189">
        <v>0</v>
      </c>
      <c r="D35" s="189">
        <v>1.4896592742934308E-2</v>
      </c>
    </row>
    <row r="36" spans="1:4" ht="20.100000000000001" customHeight="1" x14ac:dyDescent="0.2">
      <c r="A36" s="7" t="s">
        <v>1069</v>
      </c>
      <c r="B36" s="8" t="s">
        <v>1070</v>
      </c>
      <c r="C36" s="189">
        <v>8.369544532228355</v>
      </c>
      <c r="D36" s="189">
        <v>5.5026810778167776E-2</v>
      </c>
    </row>
    <row r="37" spans="1:4" ht="20.100000000000001" customHeight="1" x14ac:dyDescent="0.2">
      <c r="A37" s="7" t="s">
        <v>1071</v>
      </c>
      <c r="B37" s="8" t="s">
        <v>1070</v>
      </c>
      <c r="C37" s="189">
        <v>8.2390329790336043</v>
      </c>
      <c r="D37" s="189">
        <v>0.9456242339563824</v>
      </c>
    </row>
    <row r="38" spans="1:4" ht="20.100000000000001" customHeight="1" x14ac:dyDescent="0.2">
      <c r="A38" s="7" t="s">
        <v>1080</v>
      </c>
      <c r="B38" s="8" t="s">
        <v>1081</v>
      </c>
      <c r="C38" s="189">
        <v>0</v>
      </c>
      <c r="D38" s="189">
        <v>0.67114839944003535</v>
      </c>
    </row>
    <row r="39" spans="1:4" ht="20.100000000000001" customHeight="1" x14ac:dyDescent="0.2">
      <c r="A39" s="7" t="s">
        <v>1082</v>
      </c>
      <c r="B39" s="8" t="s">
        <v>1081</v>
      </c>
      <c r="C39" s="189">
        <v>0</v>
      </c>
      <c r="D39" s="189">
        <v>0.42808877899649783</v>
      </c>
    </row>
    <row r="40" spans="1:4" ht="20.100000000000001" customHeight="1" x14ac:dyDescent="0.2">
      <c r="A40" s="7" t="s">
        <v>1091</v>
      </c>
      <c r="B40" s="8" t="s">
        <v>1092</v>
      </c>
      <c r="C40" s="189">
        <v>2.7224304774528374</v>
      </c>
      <c r="D40" s="189">
        <v>8.1638397909715401</v>
      </c>
    </row>
    <row r="41" spans="1:4" ht="20.100000000000001" customHeight="1" x14ac:dyDescent="0.2">
      <c r="A41" s="7" t="s">
        <v>1093</v>
      </c>
      <c r="B41" s="8" t="s">
        <v>1092</v>
      </c>
      <c r="C41" s="189">
        <v>2.1106247162213734</v>
      </c>
      <c r="D41" s="189">
        <v>8.3467489433158075</v>
      </c>
    </row>
    <row r="42" spans="1:4" ht="20.100000000000001" customHeight="1" x14ac:dyDescent="0.2">
      <c r="A42" s="7" t="s">
        <v>1085</v>
      </c>
      <c r="B42" s="8" t="s">
        <v>1086</v>
      </c>
      <c r="C42" s="189">
        <v>2.7460190588391957</v>
      </c>
      <c r="D42" s="189">
        <v>17.381466206778882</v>
      </c>
    </row>
    <row r="43" spans="1:4" ht="20.100000000000001" customHeight="1" x14ac:dyDescent="0.2">
      <c r="A43" s="7" t="s">
        <v>1087</v>
      </c>
      <c r="B43" s="8" t="s">
        <v>1086</v>
      </c>
      <c r="C43" s="189">
        <v>3.3109105065386091</v>
      </c>
      <c r="D43" s="189">
        <v>19.576646228450446</v>
      </c>
    </row>
    <row r="44" spans="1:4" ht="20.100000000000001" customHeight="1" x14ac:dyDescent="0.2">
      <c r="A44" s="7" t="s">
        <v>1088</v>
      </c>
      <c r="B44" s="8" t="s">
        <v>1089</v>
      </c>
      <c r="C44" s="189">
        <v>2.6897008242644804</v>
      </c>
      <c r="D44" s="189">
        <v>2.0312774493093251</v>
      </c>
    </row>
    <row r="45" spans="1:4" ht="20.100000000000001" customHeight="1" x14ac:dyDescent="0.2">
      <c r="A45" s="7" t="s">
        <v>1090</v>
      </c>
      <c r="B45" s="8" t="s">
        <v>1089</v>
      </c>
      <c r="C45" s="189">
        <v>1.0137521757250061</v>
      </c>
      <c r="D45" s="189">
        <v>1.8819569072518061</v>
      </c>
    </row>
    <row r="46" spans="1:4" ht="20.100000000000001" customHeight="1" x14ac:dyDescent="0.2">
      <c r="A46" s="7" t="s">
        <v>1098</v>
      </c>
      <c r="B46" s="8" t="s">
        <v>1099</v>
      </c>
      <c r="C46" s="189">
        <v>6.5010367843321566</v>
      </c>
      <c r="D46" s="189">
        <v>7.9206166687566464</v>
      </c>
    </row>
    <row r="47" spans="1:4" ht="20.100000000000001" customHeight="1" x14ac:dyDescent="0.2">
      <c r="A47" s="7" t="s">
        <v>1100</v>
      </c>
      <c r="B47" s="8" t="s">
        <v>1099</v>
      </c>
      <c r="C47" s="189">
        <v>7.3187247086631722</v>
      </c>
      <c r="D47" s="189">
        <v>8.7411464155876857</v>
      </c>
    </row>
    <row r="48" spans="1:4" ht="20.100000000000001" customHeight="1" x14ac:dyDescent="0.2">
      <c r="A48" s="7" t="s">
        <v>1101</v>
      </c>
      <c r="B48" s="8" t="s">
        <v>1102</v>
      </c>
      <c r="C48" s="189">
        <v>3.8189835870266911</v>
      </c>
      <c r="D48" s="189">
        <v>4.4265459205747124</v>
      </c>
    </row>
    <row r="49" spans="1:4" ht="20.100000000000001" customHeight="1" x14ac:dyDescent="0.2">
      <c r="A49" s="7" t="s">
        <v>1103</v>
      </c>
      <c r="B49" s="8" t="s">
        <v>1102</v>
      </c>
      <c r="C49" s="189">
        <v>0.4029418189592362</v>
      </c>
      <c r="D49" s="189">
        <v>4.0788100661021263</v>
      </c>
    </row>
    <row r="50" spans="1:4" ht="20.100000000000001" customHeight="1" x14ac:dyDescent="0.2">
      <c r="A50" s="7" t="s">
        <v>1106</v>
      </c>
      <c r="B50" s="8" t="s">
        <v>1107</v>
      </c>
      <c r="C50" s="189">
        <v>0</v>
      </c>
      <c r="D50" s="189">
        <v>6.5058238991326086E-3</v>
      </c>
    </row>
    <row r="51" spans="1:4" ht="20.100000000000001" customHeight="1" x14ac:dyDescent="0.2">
      <c r="A51" s="7" t="s">
        <v>1108</v>
      </c>
      <c r="B51" s="8" t="s">
        <v>1107</v>
      </c>
      <c r="C51" s="189">
        <v>0</v>
      </c>
      <c r="D51" s="189">
        <v>4.1046977501750168E-3</v>
      </c>
    </row>
    <row r="52" spans="1:4" ht="20.100000000000001" customHeight="1" x14ac:dyDescent="0.2">
      <c r="A52" s="7" t="s">
        <v>1118</v>
      </c>
      <c r="B52" s="8" t="s">
        <v>1119</v>
      </c>
      <c r="C52" s="189">
        <v>0</v>
      </c>
      <c r="D52" s="189">
        <v>7.5714195204819825</v>
      </c>
    </row>
    <row r="53" spans="1:4" ht="20.100000000000001" customHeight="1" x14ac:dyDescent="0.2">
      <c r="A53" s="7" t="s">
        <v>1120</v>
      </c>
      <c r="B53" s="8" t="s">
        <v>1119</v>
      </c>
      <c r="C53" s="189">
        <v>0.30665245670050884</v>
      </c>
      <c r="D53" s="189">
        <v>1.463661173448876</v>
      </c>
    </row>
    <row r="54" spans="1:4" ht="20.100000000000001" customHeight="1" x14ac:dyDescent="0.2">
      <c r="A54" s="7" t="s">
        <v>1113</v>
      </c>
      <c r="B54" s="8" t="s">
        <v>1114</v>
      </c>
      <c r="C54" s="189">
        <v>0.15320040333632642</v>
      </c>
      <c r="D54" s="189">
        <v>6.9307715772031351</v>
      </c>
    </row>
    <row r="55" spans="1:4" ht="20.100000000000001" customHeight="1" x14ac:dyDescent="0.2">
      <c r="A55" s="7" t="s">
        <v>1115</v>
      </c>
      <c r="B55" s="8" t="s">
        <v>1116</v>
      </c>
      <c r="C55" s="189">
        <v>4.6771708744810327</v>
      </c>
      <c r="D55" s="189">
        <v>4.5789184418722169</v>
      </c>
    </row>
    <row r="56" spans="1:4" ht="20.100000000000001" customHeight="1" x14ac:dyDescent="0.2">
      <c r="A56" s="7" t="s">
        <v>1117</v>
      </c>
      <c r="B56" s="8" t="s">
        <v>1116</v>
      </c>
      <c r="C56" s="189">
        <v>7.507265145940595</v>
      </c>
      <c r="D56" s="189">
        <v>4.4720530539387298</v>
      </c>
    </row>
    <row r="57" spans="1:4" ht="20.100000000000001" customHeight="1" x14ac:dyDescent="0.2">
      <c r="A57" s="7" t="s">
        <v>1130</v>
      </c>
      <c r="B57" s="8" t="s">
        <v>1131</v>
      </c>
      <c r="C57" s="189">
        <v>3.1243520945488079</v>
      </c>
      <c r="D57" s="189">
        <v>1.9802374416583703</v>
      </c>
    </row>
    <row r="58" spans="1:4" ht="20.100000000000001" customHeight="1" x14ac:dyDescent="0.2">
      <c r="A58" s="7" t="s">
        <v>1132</v>
      </c>
      <c r="B58" s="8" t="s">
        <v>1131</v>
      </c>
      <c r="C58" s="189">
        <v>3.5697927889045045</v>
      </c>
      <c r="D58" s="189">
        <v>1.9338054348002798</v>
      </c>
    </row>
    <row r="59" spans="1:4" ht="20.100000000000001" customHeight="1" x14ac:dyDescent="0.2">
      <c r="A59" s="7" t="s">
        <v>1133</v>
      </c>
      <c r="B59" s="8" t="s">
        <v>1134</v>
      </c>
      <c r="C59" s="189">
        <v>3.3958304497223066</v>
      </c>
      <c r="D59" s="189">
        <v>4.3048369943483209</v>
      </c>
    </row>
    <row r="60" spans="1:4" ht="20.100000000000001" customHeight="1" x14ac:dyDescent="0.2">
      <c r="A60" s="7" t="s">
        <v>1135</v>
      </c>
      <c r="B60" s="8" t="s">
        <v>1134</v>
      </c>
      <c r="C60" s="189">
        <v>3.9618783554204597</v>
      </c>
      <c r="D60" s="189">
        <v>4.7779880201433542</v>
      </c>
    </row>
    <row r="61" spans="1:4" ht="20.100000000000001" customHeight="1" x14ac:dyDescent="0.2">
      <c r="A61" s="7" t="s">
        <v>1136</v>
      </c>
      <c r="B61" s="8" t="s">
        <v>1137</v>
      </c>
      <c r="C61" s="189">
        <v>0</v>
      </c>
      <c r="D61" s="189">
        <v>1.0360430418112861E-2</v>
      </c>
    </row>
    <row r="62" spans="1:4" ht="20.100000000000001" customHeight="1" x14ac:dyDescent="0.2">
      <c r="A62" s="7" t="s">
        <v>1138</v>
      </c>
      <c r="B62" s="8" t="s">
        <v>1137</v>
      </c>
      <c r="C62" s="189">
        <v>0</v>
      </c>
      <c r="D62" s="189">
        <v>2.4638856621441847E-2</v>
      </c>
    </row>
    <row r="63" spans="1:4" ht="20.100000000000001" customHeight="1" x14ac:dyDescent="0.2">
      <c r="A63" s="7" t="s">
        <v>1139</v>
      </c>
      <c r="B63" s="8" t="s">
        <v>1137</v>
      </c>
      <c r="C63" s="189">
        <v>0</v>
      </c>
      <c r="D63" s="189">
        <v>3.6097573340647974E-3</v>
      </c>
    </row>
    <row r="64" spans="1:4" ht="20.100000000000001" customHeight="1" x14ac:dyDescent="0.2">
      <c r="A64" s="7" t="s">
        <v>1140</v>
      </c>
      <c r="B64" s="8" t="s">
        <v>1141</v>
      </c>
      <c r="C64" s="189">
        <v>0</v>
      </c>
      <c r="D64" s="189">
        <v>7.1466996623579214E-4</v>
      </c>
    </row>
    <row r="65" spans="1:4" ht="20.100000000000001" customHeight="1" x14ac:dyDescent="0.2">
      <c r="A65" s="7" t="s">
        <v>1142</v>
      </c>
      <c r="B65" s="8" t="s">
        <v>1141</v>
      </c>
      <c r="C65" s="189">
        <v>0</v>
      </c>
      <c r="D65" s="189">
        <v>3.5234463754886425E-2</v>
      </c>
    </row>
    <row r="66" spans="1:4" ht="20.100000000000001" customHeight="1" x14ac:dyDescent="0.2">
      <c r="A66" s="7" t="s">
        <v>1143</v>
      </c>
      <c r="B66" s="8" t="s">
        <v>1144</v>
      </c>
      <c r="C66" s="189">
        <v>3.3995376958559556</v>
      </c>
      <c r="D66" s="189">
        <v>10.377518124149702</v>
      </c>
    </row>
    <row r="67" spans="1:4" ht="20.100000000000001" customHeight="1" x14ac:dyDescent="0.2">
      <c r="A67" s="7" t="s">
        <v>1145</v>
      </c>
      <c r="B67" s="8" t="s">
        <v>1144</v>
      </c>
      <c r="C67" s="189">
        <v>3.3604337918941543</v>
      </c>
      <c r="D67" s="189">
        <v>8.758416900586969</v>
      </c>
    </row>
    <row r="68" spans="1:4" ht="20.100000000000001" customHeight="1" x14ac:dyDescent="0.2">
      <c r="A68" s="7" t="s">
        <v>1146</v>
      </c>
      <c r="B68" s="8" t="s">
        <v>1147</v>
      </c>
      <c r="C68" s="189">
        <v>3.0340752176057801</v>
      </c>
      <c r="D68" s="189">
        <v>10.528809783026457</v>
      </c>
    </row>
    <row r="69" spans="1:4" ht="20.100000000000001" customHeight="1" x14ac:dyDescent="0.2">
      <c r="A69" s="7" t="s">
        <v>1148</v>
      </c>
      <c r="B69" s="8" t="s">
        <v>1147</v>
      </c>
      <c r="C69" s="189">
        <v>3.0186210198717838</v>
      </c>
      <c r="D69" s="189">
        <v>10.512256111844442</v>
      </c>
    </row>
    <row r="70" spans="1:4" ht="20.100000000000001" customHeight="1" x14ac:dyDescent="0.2">
      <c r="A70" s="7" t="s">
        <v>1151</v>
      </c>
      <c r="B70" s="8" t="s">
        <v>1152</v>
      </c>
      <c r="C70" s="189">
        <v>3.5896613317782826</v>
      </c>
      <c r="D70" s="189">
        <v>7.9675614162578245</v>
      </c>
    </row>
    <row r="71" spans="1:4" ht="20.100000000000001" customHeight="1" x14ac:dyDescent="0.2">
      <c r="A71" s="7" t="s">
        <v>1153</v>
      </c>
      <c r="B71" s="8" t="s">
        <v>1152</v>
      </c>
      <c r="C71" s="189">
        <v>3.6101578139295771</v>
      </c>
      <c r="D71" s="189">
        <v>7.0846401115924715</v>
      </c>
    </row>
    <row r="72" spans="1:4" ht="20.100000000000001" customHeight="1" x14ac:dyDescent="0.2">
      <c r="A72" s="7" t="s">
        <v>1160</v>
      </c>
      <c r="B72" s="8" t="s">
        <v>1161</v>
      </c>
      <c r="C72" s="189">
        <v>3.7859281441481389</v>
      </c>
      <c r="D72" s="189">
        <v>2.6287580017126837</v>
      </c>
    </row>
    <row r="73" spans="1:4" ht="20.100000000000001" customHeight="1" x14ac:dyDescent="0.2">
      <c r="A73" s="7" t="s">
        <v>1162</v>
      </c>
      <c r="B73" s="8" t="s">
        <v>1163</v>
      </c>
      <c r="C73" s="189">
        <v>5.3997629050464724</v>
      </c>
      <c r="D73" s="189">
        <v>1.5576438615479178</v>
      </c>
    </row>
    <row r="74" spans="1:4" ht="20.100000000000001" customHeight="1" x14ac:dyDescent="0.2">
      <c r="A74" s="7" t="s">
        <v>1164</v>
      </c>
      <c r="B74" s="8" t="s">
        <v>1163</v>
      </c>
      <c r="C74" s="189">
        <v>5.4420713125449076</v>
      </c>
      <c r="D74" s="189">
        <v>0.98979537934465422</v>
      </c>
    </row>
    <row r="75" spans="1:4" ht="20.100000000000001" customHeight="1" x14ac:dyDescent="0.2">
      <c r="A75" s="7" t="s">
        <v>1165</v>
      </c>
      <c r="B75" s="8" t="s">
        <v>1166</v>
      </c>
      <c r="C75" s="189">
        <v>0</v>
      </c>
      <c r="D75" s="189">
        <v>-0.39095998451231906</v>
      </c>
    </row>
    <row r="76" spans="1:4" ht="20.100000000000001" customHeight="1" x14ac:dyDescent="0.2">
      <c r="A76" s="7" t="s">
        <v>1167</v>
      </c>
      <c r="B76" s="8" t="s">
        <v>1166</v>
      </c>
      <c r="C76" s="189">
        <v>0</v>
      </c>
      <c r="D76" s="189">
        <v>-0.37408781269627323</v>
      </c>
    </row>
    <row r="77" spans="1:4" ht="20.100000000000001" customHeight="1" x14ac:dyDescent="0.2">
      <c r="A77" s="7" t="s">
        <v>1168</v>
      </c>
      <c r="B77" s="8" t="s">
        <v>1166</v>
      </c>
      <c r="C77" s="189">
        <v>0</v>
      </c>
      <c r="D77" s="189">
        <v>-0.35694313943157907</v>
      </c>
    </row>
    <row r="78" spans="1:4" ht="20.100000000000001" customHeight="1" x14ac:dyDescent="0.2">
      <c r="A78" s="7" t="s">
        <v>1169</v>
      </c>
      <c r="B78" s="8" t="s">
        <v>1170</v>
      </c>
      <c r="C78" s="189">
        <v>2.2451600032681531</v>
      </c>
      <c r="D78" s="189">
        <v>4.076832787815782</v>
      </c>
    </row>
    <row r="79" spans="1:4" ht="20.100000000000001" customHeight="1" x14ac:dyDescent="0.2">
      <c r="A79" s="7" t="s">
        <v>1171</v>
      </c>
      <c r="B79" s="8" t="s">
        <v>1172</v>
      </c>
      <c r="C79" s="189">
        <v>0</v>
      </c>
      <c r="D79" s="189">
        <v>4.0327854153778209E-2</v>
      </c>
    </row>
    <row r="80" spans="1:4" ht="20.100000000000001" customHeight="1" x14ac:dyDescent="0.2">
      <c r="A80" s="7" t="s">
        <v>1173</v>
      </c>
      <c r="B80" s="8" t="s">
        <v>1172</v>
      </c>
      <c r="C80" s="189">
        <v>0</v>
      </c>
      <c r="D80" s="189">
        <v>2.6296433596112487E-2</v>
      </c>
    </row>
    <row r="81" spans="1:4" ht="20.100000000000001" customHeight="1" x14ac:dyDescent="0.2">
      <c r="A81" s="7" t="s">
        <v>1174</v>
      </c>
      <c r="B81" s="8" t="s">
        <v>1172</v>
      </c>
      <c r="C81" s="189">
        <v>0</v>
      </c>
      <c r="D81" s="189">
        <v>1.1047555158326162E-2</v>
      </c>
    </row>
    <row r="82" spans="1:4" ht="20.100000000000001" customHeight="1" x14ac:dyDescent="0.2">
      <c r="A82" s="7" t="s">
        <v>1180</v>
      </c>
      <c r="B82" s="8" t="s">
        <v>1181</v>
      </c>
      <c r="C82" s="189">
        <v>0</v>
      </c>
      <c r="D82" s="189">
        <v>6.2967644398373018E-2</v>
      </c>
    </row>
    <row r="83" spans="1:4" ht="20.100000000000001" customHeight="1" x14ac:dyDescent="0.2">
      <c r="A83" s="7" t="s">
        <v>1182</v>
      </c>
      <c r="B83" s="8" t="s">
        <v>1181</v>
      </c>
      <c r="C83" s="189">
        <v>0</v>
      </c>
      <c r="D83" s="189">
        <v>9.0754768516900397E-2</v>
      </c>
    </row>
    <row r="84" spans="1:4" ht="20.100000000000001" customHeight="1" x14ac:dyDescent="0.2">
      <c r="A84" s="7" t="s">
        <v>1183</v>
      </c>
      <c r="B84" s="8" t="s">
        <v>1181</v>
      </c>
      <c r="C84" s="189">
        <v>0</v>
      </c>
      <c r="D84" s="189">
        <v>4.5501297036686289E-2</v>
      </c>
    </row>
    <row r="85" spans="1:4" ht="20.100000000000001" customHeight="1" x14ac:dyDescent="0.2">
      <c r="A85" s="7" t="s">
        <v>1175</v>
      </c>
      <c r="B85" s="8" t="s">
        <v>1176</v>
      </c>
      <c r="C85" s="189">
        <v>1.7511120813196719</v>
      </c>
      <c r="D85" s="189">
        <v>3.9993665709853898</v>
      </c>
    </row>
    <row r="86" spans="1:4" ht="20.100000000000001" customHeight="1" x14ac:dyDescent="0.2">
      <c r="A86" s="7" t="s">
        <v>1177</v>
      </c>
      <c r="B86" s="8" t="s">
        <v>1178</v>
      </c>
      <c r="C86" s="189">
        <v>3.9329720913495634</v>
      </c>
      <c r="D86" s="189">
        <v>4.3736300636783465</v>
      </c>
    </row>
    <row r="87" spans="1:4" ht="20.100000000000001" customHeight="1" x14ac:dyDescent="0.2">
      <c r="A87" s="7" t="s">
        <v>1179</v>
      </c>
      <c r="B87" s="8" t="s">
        <v>1178</v>
      </c>
      <c r="C87" s="189">
        <v>3.885793456226601</v>
      </c>
      <c r="D87" s="189">
        <v>4.3759936873281209</v>
      </c>
    </row>
    <row r="88" spans="1:4" ht="20.100000000000001" customHeight="1" x14ac:dyDescent="0.2">
      <c r="A88" s="7" t="s">
        <v>1184</v>
      </c>
      <c r="B88" s="8" t="s">
        <v>1185</v>
      </c>
      <c r="C88" s="189">
        <v>0</v>
      </c>
      <c r="D88" s="189">
        <v>0.64947576253912176</v>
      </c>
    </row>
    <row r="89" spans="1:4" ht="20.100000000000001" customHeight="1" x14ac:dyDescent="0.2">
      <c r="A89" s="7" t="s">
        <v>1186</v>
      </c>
      <c r="B89" s="8" t="s">
        <v>1185</v>
      </c>
      <c r="C89" s="189">
        <v>0</v>
      </c>
      <c r="D89" s="189">
        <v>0.35770295535292435</v>
      </c>
    </row>
    <row r="90" spans="1:4" ht="20.100000000000001" customHeight="1" x14ac:dyDescent="0.2">
      <c r="A90" s="7" t="s">
        <v>1187</v>
      </c>
      <c r="B90" s="8" t="s">
        <v>1185</v>
      </c>
      <c r="C90" s="189">
        <v>0</v>
      </c>
      <c r="D90" s="189">
        <v>0.30619655982943883</v>
      </c>
    </row>
    <row r="91" spans="1:4" ht="20.100000000000001" customHeight="1" x14ac:dyDescent="0.2">
      <c r="A91" s="7" t="s">
        <v>1188</v>
      </c>
      <c r="B91" s="8" t="s">
        <v>1189</v>
      </c>
      <c r="C91" s="189">
        <v>2.8425646635006454</v>
      </c>
      <c r="D91" s="189">
        <v>1.6131271372367528</v>
      </c>
    </row>
    <row r="92" spans="1:4" ht="20.100000000000001" customHeight="1" x14ac:dyDescent="0.2">
      <c r="A92" s="7" t="s">
        <v>1190</v>
      </c>
      <c r="B92" s="8" t="s">
        <v>1189</v>
      </c>
      <c r="C92" s="189">
        <v>3.4098770004876648</v>
      </c>
      <c r="D92" s="189">
        <v>1.167518604068591</v>
      </c>
    </row>
    <row r="93" spans="1:4" ht="20.100000000000001" customHeight="1" x14ac:dyDescent="0.2">
      <c r="A93" s="7" t="s">
        <v>1191</v>
      </c>
      <c r="B93" s="8" t="s">
        <v>1189</v>
      </c>
      <c r="C93" s="189">
        <v>1.824635367954631</v>
      </c>
      <c r="D93" s="189">
        <v>1.1542881623810115</v>
      </c>
    </row>
    <row r="94" spans="1:4" ht="20.100000000000001" customHeight="1" x14ac:dyDescent="0.2">
      <c r="A94" s="7" t="s">
        <v>1197</v>
      </c>
      <c r="B94" s="8" t="s">
        <v>1198</v>
      </c>
      <c r="C94" s="189">
        <v>3.3185750708845267</v>
      </c>
      <c r="D94" s="189">
        <v>0.94855420128588941</v>
      </c>
    </row>
    <row r="95" spans="1:4" ht="20.100000000000001" customHeight="1" x14ac:dyDescent="0.2">
      <c r="A95" s="7" t="s">
        <v>1199</v>
      </c>
      <c r="B95" s="8" t="s">
        <v>1198</v>
      </c>
      <c r="C95" s="189">
        <v>3.9348292858037812</v>
      </c>
      <c r="D95" s="189">
        <v>0.96007898822112214</v>
      </c>
    </row>
    <row r="96" spans="1:4" ht="20.100000000000001" customHeight="1" x14ac:dyDescent="0.2">
      <c r="A96" s="7" t="s">
        <v>1195</v>
      </c>
      <c r="B96" s="8" t="s">
        <v>1196</v>
      </c>
      <c r="C96" s="189">
        <v>2.5074647366866891</v>
      </c>
      <c r="D96" s="189">
        <v>4.0157574614094411</v>
      </c>
    </row>
    <row r="97" spans="1:4" ht="20.100000000000001" customHeight="1" x14ac:dyDescent="0.2">
      <c r="A97" s="7" t="s">
        <v>1200</v>
      </c>
      <c r="B97" s="8" t="s">
        <v>1201</v>
      </c>
      <c r="C97" s="189">
        <v>2.9648040096970432</v>
      </c>
      <c r="D97" s="189">
        <v>6.3738497436846107</v>
      </c>
    </row>
    <row r="98" spans="1:4" ht="20.100000000000001" customHeight="1" x14ac:dyDescent="0.2">
      <c r="A98" s="7" t="s">
        <v>1202</v>
      </c>
      <c r="B98" s="8" t="s">
        <v>1201</v>
      </c>
      <c r="C98" s="189">
        <v>3.6651426739885493</v>
      </c>
      <c r="D98" s="189">
        <v>6.1379452221062012</v>
      </c>
    </row>
    <row r="99" spans="1:4" ht="20.100000000000001" customHeight="1" x14ac:dyDescent="0.2">
      <c r="A99" s="7" t="s">
        <v>1192</v>
      </c>
      <c r="B99" s="8" t="s">
        <v>1193</v>
      </c>
      <c r="C99" s="189">
        <v>0.34081792916379927</v>
      </c>
      <c r="D99" s="189">
        <v>26.739949850211616</v>
      </c>
    </row>
    <row r="100" spans="1:4" ht="20.100000000000001" customHeight="1" x14ac:dyDescent="0.2">
      <c r="A100" s="7" t="s">
        <v>1194</v>
      </c>
      <c r="B100" s="8" t="s">
        <v>1193</v>
      </c>
      <c r="C100" s="189">
        <v>6.0606568371942157E-2</v>
      </c>
      <c r="D100" s="189">
        <v>22.371114652172025</v>
      </c>
    </row>
    <row r="101" spans="1:4" ht="20.100000000000001" customHeight="1" x14ac:dyDescent="0.2">
      <c r="A101" s="7" t="s">
        <v>1203</v>
      </c>
      <c r="B101" s="8" t="s">
        <v>1204</v>
      </c>
      <c r="C101" s="189">
        <v>5.5922034301151866</v>
      </c>
      <c r="D101" s="189">
        <v>2.3495593273034192</v>
      </c>
    </row>
    <row r="102" spans="1:4" ht="20.100000000000001" customHeight="1" x14ac:dyDescent="0.2">
      <c r="A102" s="7" t="s">
        <v>1205</v>
      </c>
      <c r="B102" s="8" t="s">
        <v>1204</v>
      </c>
      <c r="C102" s="189">
        <v>4.926066567309805</v>
      </c>
      <c r="D102" s="189">
        <v>2.2553672472208715</v>
      </c>
    </row>
    <row r="103" spans="1:4" ht="20.100000000000001" customHeight="1" x14ac:dyDescent="0.2">
      <c r="A103" s="7" t="s">
        <v>1206</v>
      </c>
      <c r="B103" s="8" t="s">
        <v>1207</v>
      </c>
      <c r="C103" s="189">
        <v>2.7366449563583015</v>
      </c>
      <c r="D103" s="189">
        <v>11.92965588871715</v>
      </c>
    </row>
    <row r="104" spans="1:4" ht="20.100000000000001" customHeight="1" x14ac:dyDescent="0.2">
      <c r="A104" s="7" t="s">
        <v>1208</v>
      </c>
      <c r="B104" s="8" t="s">
        <v>1209</v>
      </c>
      <c r="C104" s="189">
        <v>3.0768512312936807</v>
      </c>
      <c r="D104" s="189">
        <v>5.6228210791221915</v>
      </c>
    </row>
    <row r="105" spans="1:4" ht="20.100000000000001" customHeight="1" x14ac:dyDescent="0.2">
      <c r="A105" s="7" t="s">
        <v>1210</v>
      </c>
      <c r="B105" s="8" t="s">
        <v>1209</v>
      </c>
      <c r="C105" s="189">
        <v>3.1250995138288205</v>
      </c>
      <c r="D105" s="189">
        <v>6.467735855407966</v>
      </c>
    </row>
    <row r="106" spans="1:4" ht="20.100000000000001" customHeight="1" x14ac:dyDescent="0.2">
      <c r="A106" s="7" t="s">
        <v>1219</v>
      </c>
      <c r="B106" s="8" t="s">
        <v>1220</v>
      </c>
      <c r="C106" s="189">
        <v>0.82065998606810742</v>
      </c>
      <c r="D106" s="189">
        <v>1.0598265307059118</v>
      </c>
    </row>
    <row r="107" spans="1:4" ht="20.100000000000001" customHeight="1" x14ac:dyDescent="0.2">
      <c r="A107" s="7" t="s">
        <v>1221</v>
      </c>
      <c r="B107" s="8" t="s">
        <v>1220</v>
      </c>
      <c r="C107" s="189">
        <v>6.5352296141128585E-2</v>
      </c>
      <c r="D107" s="189">
        <v>3.7865432972485933</v>
      </c>
    </row>
    <row r="108" spans="1:4" ht="20.100000000000001" customHeight="1" x14ac:dyDescent="0.2">
      <c r="A108" s="7" t="s">
        <v>1222</v>
      </c>
      <c r="B108" s="8" t="s">
        <v>1223</v>
      </c>
      <c r="C108" s="189">
        <v>0.33032883571196592</v>
      </c>
      <c r="D108" s="189">
        <v>4.1859581742073084</v>
      </c>
    </row>
    <row r="109" spans="1:4" ht="20.100000000000001" customHeight="1" x14ac:dyDescent="0.2">
      <c r="A109" s="7" t="s">
        <v>1224</v>
      </c>
      <c r="B109" s="8" t="s">
        <v>1225</v>
      </c>
      <c r="C109" s="189">
        <v>0</v>
      </c>
      <c r="D109" s="189">
        <v>0.61236928896587028</v>
      </c>
    </row>
    <row r="110" spans="1:4" ht="20.100000000000001" customHeight="1" x14ac:dyDescent="0.2">
      <c r="A110" s="7" t="s">
        <v>1226</v>
      </c>
      <c r="B110" s="8" t="s">
        <v>1225</v>
      </c>
      <c r="C110" s="189">
        <v>0</v>
      </c>
      <c r="D110" s="189">
        <v>0.15253081633443061</v>
      </c>
    </row>
    <row r="111" spans="1:4" ht="20.100000000000001" customHeight="1" x14ac:dyDescent="0.2">
      <c r="A111" s="7" t="s">
        <v>1227</v>
      </c>
      <c r="B111" s="8" t="s">
        <v>1225</v>
      </c>
      <c r="C111" s="189">
        <v>0</v>
      </c>
      <c r="D111" s="189">
        <v>0.60283444280214471</v>
      </c>
    </row>
    <row r="112" spans="1:4" ht="20.100000000000001" customHeight="1" x14ac:dyDescent="0.2">
      <c r="A112" s="7" t="s">
        <v>1228</v>
      </c>
      <c r="B112" s="8" t="s">
        <v>1229</v>
      </c>
      <c r="C112" s="189">
        <v>0</v>
      </c>
      <c r="D112" s="189">
        <v>2.4377441198301257</v>
      </c>
    </row>
    <row r="113" spans="1:4" ht="20.100000000000001" customHeight="1" x14ac:dyDescent="0.2">
      <c r="A113" s="7" t="s">
        <v>1230</v>
      </c>
      <c r="B113" s="8" t="s">
        <v>1229</v>
      </c>
      <c r="C113" s="189">
        <v>0</v>
      </c>
      <c r="D113" s="189">
        <v>1.169775556359183</v>
      </c>
    </row>
    <row r="114" spans="1:4" ht="20.100000000000001" customHeight="1" x14ac:dyDescent="0.2">
      <c r="A114" s="7" t="s">
        <v>1231</v>
      </c>
      <c r="B114" s="8" t="s">
        <v>1232</v>
      </c>
      <c r="C114" s="189">
        <v>1.5377456388385884</v>
      </c>
      <c r="D114" s="189">
        <v>5.7063644337181456</v>
      </c>
    </row>
    <row r="115" spans="1:4" ht="20.100000000000001" customHeight="1" x14ac:dyDescent="0.2">
      <c r="A115" s="7" t="s">
        <v>1233</v>
      </c>
      <c r="B115" s="8" t="s">
        <v>1234</v>
      </c>
      <c r="C115" s="189">
        <v>-1.7028402314408939E-4</v>
      </c>
      <c r="D115" s="189">
        <v>-0.41826082147313537</v>
      </c>
    </row>
    <row r="116" spans="1:4" ht="20.100000000000001" customHeight="1" x14ac:dyDescent="0.2">
      <c r="A116" s="7" t="s">
        <v>1235</v>
      </c>
      <c r="B116" s="8" t="s">
        <v>1234</v>
      </c>
      <c r="C116" s="189">
        <v>1.6669447442358104E-4</v>
      </c>
      <c r="D116" s="189">
        <v>0.21074485660095271</v>
      </c>
    </row>
    <row r="117" spans="1:4" ht="20.100000000000001" customHeight="1" x14ac:dyDescent="0.2">
      <c r="A117" s="7" t="s">
        <v>1236</v>
      </c>
      <c r="B117" s="8" t="s">
        <v>1234</v>
      </c>
      <c r="C117" s="189">
        <v>1.1408681869594039E-4</v>
      </c>
      <c r="D117" s="189">
        <v>0.2065020791935015</v>
      </c>
    </row>
    <row r="118" spans="1:4" ht="20.100000000000001" customHeight="1" x14ac:dyDescent="0.2">
      <c r="A118" s="7" t="s">
        <v>1237</v>
      </c>
      <c r="B118" s="8" t="s">
        <v>1238</v>
      </c>
      <c r="C118" s="189">
        <v>0</v>
      </c>
      <c r="D118" s="189">
        <v>0.17772607369588259</v>
      </c>
    </row>
    <row r="119" spans="1:4" ht="20.100000000000001" customHeight="1" x14ac:dyDescent="0.2">
      <c r="A119" s="7" t="s">
        <v>1239</v>
      </c>
      <c r="B119" s="8" t="s">
        <v>1238</v>
      </c>
      <c r="C119" s="189">
        <v>0</v>
      </c>
      <c r="D119" s="189">
        <v>8.2590987954335823E-2</v>
      </c>
    </row>
    <row r="120" spans="1:4" ht="20.100000000000001" customHeight="1" x14ac:dyDescent="0.2">
      <c r="A120" s="7" t="s">
        <v>1240</v>
      </c>
      <c r="B120" s="8" t="s">
        <v>1238</v>
      </c>
      <c r="C120" s="189">
        <v>0</v>
      </c>
      <c r="D120" s="189">
        <v>2.1547394804724555E-2</v>
      </c>
    </row>
    <row r="121" spans="1:4" ht="20.100000000000001" customHeight="1" x14ac:dyDescent="0.2">
      <c r="A121" s="7" t="s">
        <v>1241</v>
      </c>
      <c r="B121" s="8" t="s">
        <v>1242</v>
      </c>
      <c r="C121" s="189">
        <v>-1.2076750035517223E-4</v>
      </c>
      <c r="D121" s="189">
        <v>-9.2679494926389827E-4</v>
      </c>
    </row>
    <row r="122" spans="1:4" ht="20.100000000000001" customHeight="1" x14ac:dyDescent="0.2">
      <c r="A122" s="7" t="s">
        <v>1243</v>
      </c>
      <c r="B122" s="8" t="s">
        <v>1242</v>
      </c>
      <c r="C122" s="189">
        <v>-1.1799264479837466E-4</v>
      </c>
      <c r="D122" s="189">
        <v>-0.27261322564119672</v>
      </c>
    </row>
    <row r="123" spans="1:4" ht="20.100000000000001" customHeight="1" x14ac:dyDescent="0.2">
      <c r="A123" s="7" t="s">
        <v>1244</v>
      </c>
      <c r="B123" s="8" t="s">
        <v>1242</v>
      </c>
      <c r="C123" s="189">
        <v>1.1059999926004032E-4</v>
      </c>
      <c r="D123" s="189">
        <v>0.2417449362219517</v>
      </c>
    </row>
    <row r="124" spans="1:4" ht="20.100000000000001" customHeight="1" x14ac:dyDescent="0.2">
      <c r="A124" s="7" t="s">
        <v>1245</v>
      </c>
      <c r="B124" s="8" t="s">
        <v>1246</v>
      </c>
      <c r="C124" s="189">
        <v>3.1007599884682135</v>
      </c>
      <c r="D124" s="189">
        <v>2.8770404408437167</v>
      </c>
    </row>
    <row r="125" spans="1:4" ht="20.100000000000001" customHeight="1" x14ac:dyDescent="0.2">
      <c r="A125" s="7" t="s">
        <v>1247</v>
      </c>
      <c r="B125" s="8" t="s">
        <v>1248</v>
      </c>
      <c r="C125" s="189">
        <v>3.0068875717986279</v>
      </c>
      <c r="D125" s="189">
        <v>4.199228724432766</v>
      </c>
    </row>
    <row r="126" spans="1:4" ht="20.100000000000001" customHeight="1" x14ac:dyDescent="0.2">
      <c r="A126" s="7" t="s">
        <v>1249</v>
      </c>
      <c r="B126" s="8" t="s">
        <v>1248</v>
      </c>
      <c r="C126" s="189">
        <v>3.2045822110372746</v>
      </c>
      <c r="D126" s="189">
        <v>4.1899878277928888</v>
      </c>
    </row>
    <row r="127" spans="1:4" ht="20.100000000000001" customHeight="1" x14ac:dyDescent="0.2">
      <c r="A127" s="7" t="s">
        <v>1252</v>
      </c>
      <c r="B127" s="8" t="s">
        <v>1253</v>
      </c>
      <c r="C127" s="189">
        <v>3.8336794114263721</v>
      </c>
      <c r="D127" s="189">
        <v>10.264393599532948</v>
      </c>
    </row>
    <row r="128" spans="1:4" ht="20.100000000000001" customHeight="1" x14ac:dyDescent="0.2">
      <c r="A128" s="7" t="s">
        <v>1254</v>
      </c>
      <c r="B128" s="8" t="s">
        <v>1253</v>
      </c>
      <c r="C128" s="189">
        <v>3.8422239734566137</v>
      </c>
      <c r="D128" s="189">
        <v>10.332987391379355</v>
      </c>
    </row>
    <row r="129" spans="1:4" ht="20.100000000000001" customHeight="1" x14ac:dyDescent="0.2">
      <c r="A129" s="7" t="s">
        <v>1257</v>
      </c>
      <c r="B129" s="8" t="s">
        <v>1258</v>
      </c>
      <c r="C129" s="189">
        <v>0.39906538665116165</v>
      </c>
      <c r="D129" s="189">
        <v>0.87235829723310299</v>
      </c>
    </row>
    <row r="130" spans="1:4" ht="20.100000000000001" customHeight="1" x14ac:dyDescent="0.2">
      <c r="A130" s="7" t="s">
        <v>1259</v>
      </c>
      <c r="B130" s="8" t="s">
        <v>1258</v>
      </c>
      <c r="C130" s="189">
        <v>9.7479551174866189E-2</v>
      </c>
      <c r="D130" s="189">
        <v>0.87610554966245324</v>
      </c>
    </row>
    <row r="131" spans="1:4" ht="20.100000000000001" customHeight="1" x14ac:dyDescent="0.2">
      <c r="A131" s="7" t="s">
        <v>1260</v>
      </c>
      <c r="B131" s="8" t="s">
        <v>1258</v>
      </c>
      <c r="C131" s="189">
        <v>8.3930986782227296E-2</v>
      </c>
      <c r="D131" s="189">
        <v>0.88284100252012898</v>
      </c>
    </row>
    <row r="132" spans="1:4" ht="20.100000000000001" customHeight="1" x14ac:dyDescent="0.2">
      <c r="A132" s="7" t="s">
        <v>1261</v>
      </c>
      <c r="B132" s="8" t="s">
        <v>1262</v>
      </c>
      <c r="C132" s="189">
        <v>4.4364311575239945</v>
      </c>
      <c r="D132" s="189">
        <v>16.700547293127908</v>
      </c>
    </row>
    <row r="133" spans="1:4" ht="20.100000000000001" customHeight="1" x14ac:dyDescent="0.2">
      <c r="A133" s="7" t="s">
        <v>1263</v>
      </c>
      <c r="B133" s="8" t="s">
        <v>1262</v>
      </c>
      <c r="C133" s="189">
        <v>6.0607413035760569</v>
      </c>
      <c r="D133" s="189">
        <v>21.219154644585565</v>
      </c>
    </row>
    <row r="134" spans="1:4" ht="20.100000000000001" customHeight="1" x14ac:dyDescent="0.2">
      <c r="A134" s="7" t="s">
        <v>1264</v>
      </c>
      <c r="B134" s="8" t="s">
        <v>1265</v>
      </c>
      <c r="C134" s="189">
        <v>1.722520420782875</v>
      </c>
      <c r="D134" s="189">
        <v>3.4717258800168391</v>
      </c>
    </row>
    <row r="135" spans="1:4" ht="20.100000000000001" customHeight="1" x14ac:dyDescent="0.2">
      <c r="A135" s="7" t="s">
        <v>1266</v>
      </c>
      <c r="B135" s="8" t="s">
        <v>1265</v>
      </c>
      <c r="C135" s="189">
        <v>1.7981573368610129E-2</v>
      </c>
      <c r="D135" s="189">
        <v>1.6787148140718462</v>
      </c>
    </row>
    <row r="136" spans="1:4" ht="20.100000000000001" customHeight="1" x14ac:dyDescent="0.2">
      <c r="A136" s="7" t="s">
        <v>1267</v>
      </c>
      <c r="B136" s="8" t="s">
        <v>1268</v>
      </c>
      <c r="C136" s="189">
        <v>0</v>
      </c>
      <c r="D136" s="189">
        <v>0.22128424378224279</v>
      </c>
    </row>
    <row r="137" spans="1:4" ht="20.100000000000001" customHeight="1" x14ac:dyDescent="0.2">
      <c r="A137" s="7" t="s">
        <v>1269</v>
      </c>
      <c r="B137" s="8" t="s">
        <v>1268</v>
      </c>
      <c r="C137" s="189">
        <v>0</v>
      </c>
      <c r="D137" s="189">
        <v>0.17459322691767296</v>
      </c>
    </row>
    <row r="138" spans="1:4" ht="20.100000000000001" customHeight="1" x14ac:dyDescent="0.2">
      <c r="A138" s="7" t="s">
        <v>1272</v>
      </c>
      <c r="B138" s="8" t="s">
        <v>1273</v>
      </c>
      <c r="C138" s="189">
        <v>0</v>
      </c>
      <c r="D138" s="189">
        <v>0.93146065094804142</v>
      </c>
    </row>
    <row r="139" spans="1:4" ht="20.100000000000001" customHeight="1" x14ac:dyDescent="0.2">
      <c r="A139" s="7" t="s">
        <v>1274</v>
      </c>
      <c r="B139" s="8" t="s">
        <v>1275</v>
      </c>
      <c r="C139" s="189">
        <v>5.1915086480318759</v>
      </c>
      <c r="D139" s="189">
        <v>7.7128380501342342</v>
      </c>
    </row>
    <row r="140" spans="1:4" ht="20.100000000000001" customHeight="1" x14ac:dyDescent="0.2">
      <c r="A140" s="7" t="s">
        <v>1276</v>
      </c>
      <c r="B140" s="8" t="s">
        <v>1275</v>
      </c>
      <c r="C140" s="189">
        <v>5.6317986176776298</v>
      </c>
      <c r="D140" s="189">
        <v>10.336314997353288</v>
      </c>
    </row>
    <row r="141" spans="1:4" ht="20.100000000000001" customHeight="1" x14ac:dyDescent="0.2">
      <c r="A141" s="7" t="s">
        <v>1277</v>
      </c>
      <c r="B141" s="8" t="s">
        <v>1278</v>
      </c>
      <c r="C141" s="189">
        <v>4.9280552686912475</v>
      </c>
      <c r="D141" s="189">
        <v>8.9576329697822779</v>
      </c>
    </row>
    <row r="142" spans="1:4" ht="20.100000000000001" customHeight="1" x14ac:dyDescent="0.2">
      <c r="A142" s="7" t="s">
        <v>1279</v>
      </c>
      <c r="B142" s="8" t="s">
        <v>1278</v>
      </c>
      <c r="C142" s="189">
        <v>6.1566422337599471</v>
      </c>
      <c r="D142" s="189">
        <v>9.107896988565118</v>
      </c>
    </row>
    <row r="143" spans="1:4" ht="20.100000000000001" customHeight="1" x14ac:dyDescent="0.2">
      <c r="A143" s="7" t="s">
        <v>1280</v>
      </c>
      <c r="B143" s="8" t="s">
        <v>1281</v>
      </c>
      <c r="C143" s="189">
        <v>5.512902646923183</v>
      </c>
      <c r="D143" s="189">
        <v>25.433117474942605</v>
      </c>
    </row>
    <row r="144" spans="1:4" ht="20.100000000000001" customHeight="1" x14ac:dyDescent="0.2">
      <c r="A144" s="7" t="s">
        <v>1282</v>
      </c>
      <c r="B144" s="8" t="s">
        <v>1281</v>
      </c>
      <c r="C144" s="189">
        <v>2.1445297442745526</v>
      </c>
      <c r="D144" s="189">
        <v>20.866295371394969</v>
      </c>
    </row>
    <row r="145" spans="1:4" ht="20.100000000000001" customHeight="1" x14ac:dyDescent="0.2">
      <c r="A145" s="7" t="s">
        <v>1291</v>
      </c>
      <c r="B145" s="8" t="s">
        <v>1292</v>
      </c>
      <c r="C145" s="189">
        <v>2.2903545115549129</v>
      </c>
      <c r="D145" s="189">
        <v>7.5240273205492922</v>
      </c>
    </row>
    <row r="146" spans="1:4" ht="20.100000000000001" customHeight="1" x14ac:dyDescent="0.2">
      <c r="A146" s="7" t="s">
        <v>1293</v>
      </c>
      <c r="B146" s="8" t="s">
        <v>1292</v>
      </c>
      <c r="C146" s="189">
        <v>3.2425775300425008</v>
      </c>
      <c r="D146" s="189">
        <v>15.661962451382051</v>
      </c>
    </row>
    <row r="147" spans="1:4" ht="20.100000000000001" customHeight="1" x14ac:dyDescent="0.2">
      <c r="A147" s="7" t="s">
        <v>1288</v>
      </c>
      <c r="B147" s="8" t="s">
        <v>1289</v>
      </c>
      <c r="C147" s="189">
        <v>2.2133374959193728</v>
      </c>
      <c r="D147" s="189">
        <v>1.2349366949994314</v>
      </c>
    </row>
    <row r="148" spans="1:4" ht="20.100000000000001" customHeight="1" x14ac:dyDescent="0.2">
      <c r="A148" s="7" t="s">
        <v>1290</v>
      </c>
      <c r="B148" s="8" t="s">
        <v>1289</v>
      </c>
      <c r="C148" s="189">
        <v>0.70818520834563015</v>
      </c>
      <c r="D148" s="189">
        <v>1.2403507343990432</v>
      </c>
    </row>
    <row r="149" spans="1:4" ht="20.100000000000001" customHeight="1" x14ac:dyDescent="0.2">
      <c r="A149" s="7" t="s">
        <v>1283</v>
      </c>
      <c r="B149" s="8" t="s">
        <v>1284</v>
      </c>
      <c r="C149" s="189">
        <v>0</v>
      </c>
      <c r="D149" s="189">
        <v>0.11368630951433353</v>
      </c>
    </row>
    <row r="150" spans="1:4" ht="20.100000000000001" customHeight="1" x14ac:dyDescent="0.2">
      <c r="A150" s="7" t="s">
        <v>1285</v>
      </c>
      <c r="B150" s="8" t="s">
        <v>1284</v>
      </c>
      <c r="C150" s="189">
        <v>0</v>
      </c>
      <c r="D150" s="189">
        <v>7.2707658116413582E-2</v>
      </c>
    </row>
    <row r="151" spans="1:4" ht="20.100000000000001" customHeight="1" x14ac:dyDescent="0.2">
      <c r="A151" s="7" t="s">
        <v>1286</v>
      </c>
      <c r="B151" s="8" t="s">
        <v>1287</v>
      </c>
      <c r="C151" s="189">
        <v>0</v>
      </c>
      <c r="D151" s="189">
        <v>9.0280001942628593E-4</v>
      </c>
    </row>
    <row r="152" spans="1:4" ht="20.100000000000001" customHeight="1" x14ac:dyDescent="0.2">
      <c r="A152" s="7" t="s">
        <v>1296</v>
      </c>
      <c r="B152" s="8" t="s">
        <v>1297</v>
      </c>
      <c r="C152" s="189">
        <v>6.5361162874746749E-3</v>
      </c>
      <c r="D152" s="189">
        <v>0</v>
      </c>
    </row>
    <row r="153" spans="1:4" ht="20.100000000000001" customHeight="1" x14ac:dyDescent="0.2">
      <c r="A153" s="7" t="s">
        <v>1298</v>
      </c>
      <c r="B153" s="8" t="s">
        <v>1297</v>
      </c>
      <c r="C153" s="189">
        <v>-4.5373960282362857E-3</v>
      </c>
      <c r="D153" s="189">
        <v>0</v>
      </c>
    </row>
    <row r="154" spans="1:4" ht="20.100000000000001" customHeight="1" x14ac:dyDescent="0.2">
      <c r="A154" s="7" t="s">
        <v>1299</v>
      </c>
      <c r="B154" s="8" t="s">
        <v>1300</v>
      </c>
      <c r="C154" s="189">
        <v>2.4640556576893675</v>
      </c>
      <c r="D154" s="189">
        <v>6.5125980790566107</v>
      </c>
    </row>
    <row r="155" spans="1:4" ht="20.100000000000001" customHeight="1" x14ac:dyDescent="0.2">
      <c r="A155" s="7" t="s">
        <v>1301</v>
      </c>
      <c r="B155" s="8" t="s">
        <v>1300</v>
      </c>
      <c r="C155" s="189">
        <v>2.1344646668919376</v>
      </c>
      <c r="D155" s="189">
        <v>6.2467201403364605</v>
      </c>
    </row>
    <row r="156" spans="1:4" ht="20.100000000000001" customHeight="1" x14ac:dyDescent="0.2">
      <c r="A156" s="7" t="s">
        <v>1310</v>
      </c>
      <c r="B156" s="8" t="s">
        <v>1311</v>
      </c>
      <c r="C156" s="189">
        <v>1.379756428223665</v>
      </c>
      <c r="D156" s="189">
        <v>0.10556914453829269</v>
      </c>
    </row>
    <row r="157" spans="1:4" ht="20.100000000000001" customHeight="1" x14ac:dyDescent="0.2">
      <c r="A157" s="7" t="s">
        <v>1312</v>
      </c>
      <c r="B157" s="8" t="s">
        <v>1313</v>
      </c>
      <c r="C157" s="189">
        <v>0</v>
      </c>
      <c r="D157" s="189">
        <v>0.28523016510292415</v>
      </c>
    </row>
    <row r="158" spans="1:4" ht="20.100000000000001" customHeight="1" x14ac:dyDescent="0.2">
      <c r="A158" s="7" t="s">
        <v>1314</v>
      </c>
      <c r="B158" s="8" t="s">
        <v>1313</v>
      </c>
      <c r="C158" s="189">
        <v>0</v>
      </c>
      <c r="D158" s="189">
        <v>0.29636586391530356</v>
      </c>
    </row>
    <row r="159" spans="1:4" ht="20.100000000000001" customHeight="1" x14ac:dyDescent="0.2">
      <c r="A159" s="7" t="s">
        <v>1315</v>
      </c>
      <c r="B159" s="8" t="s">
        <v>1313</v>
      </c>
      <c r="C159" s="189">
        <v>0</v>
      </c>
      <c r="D159" s="189">
        <v>0.25830180274131809</v>
      </c>
    </row>
    <row r="160" spans="1:4" ht="20.100000000000001" customHeight="1" x14ac:dyDescent="0.2">
      <c r="A160" s="7" t="s">
        <v>1316</v>
      </c>
      <c r="B160" s="8" t="s">
        <v>1317</v>
      </c>
      <c r="C160" s="189">
        <v>3.3707621074515637</v>
      </c>
      <c r="D160" s="189">
        <v>6.0639255158726364</v>
      </c>
    </row>
    <row r="161" spans="1:4" ht="20.100000000000001" customHeight="1" x14ac:dyDescent="0.2">
      <c r="A161" s="7" t="s">
        <v>1318</v>
      </c>
      <c r="B161" s="8" t="s">
        <v>1317</v>
      </c>
      <c r="C161" s="189">
        <v>3.3599370116443232</v>
      </c>
      <c r="D161" s="189">
        <v>4.053562700675756</v>
      </c>
    </row>
    <row r="162" spans="1:4" ht="20.100000000000001" customHeight="1" x14ac:dyDescent="0.2">
      <c r="A162" s="7" t="s">
        <v>1319</v>
      </c>
      <c r="B162" s="8" t="s">
        <v>1320</v>
      </c>
      <c r="C162" s="189">
        <v>0</v>
      </c>
      <c r="D162" s="189">
        <v>0.87150418020275766</v>
      </c>
    </row>
    <row r="163" spans="1:4" ht="20.100000000000001" customHeight="1" x14ac:dyDescent="0.2">
      <c r="A163" s="7" t="s">
        <v>1321</v>
      </c>
      <c r="B163" s="8" t="s">
        <v>1320</v>
      </c>
      <c r="C163" s="189">
        <v>0</v>
      </c>
      <c r="D163" s="189">
        <v>0.82176775815958947</v>
      </c>
    </row>
    <row r="164" spans="1:4" ht="20.100000000000001" customHeight="1" x14ac:dyDescent="0.2">
      <c r="A164" s="7" t="s">
        <v>1322</v>
      </c>
      <c r="B164" s="8" t="s">
        <v>1320</v>
      </c>
      <c r="C164" s="189">
        <v>0</v>
      </c>
      <c r="D164" s="189">
        <v>0.82334874649666334</v>
      </c>
    </row>
    <row r="165" spans="1:4" ht="20.100000000000001" customHeight="1" x14ac:dyDescent="0.2">
      <c r="A165" s="7" t="s">
        <v>1323</v>
      </c>
      <c r="B165" s="8" t="s">
        <v>1324</v>
      </c>
      <c r="C165" s="189">
        <v>3.7317405214007353</v>
      </c>
      <c r="D165" s="189">
        <v>17.36835574931791</v>
      </c>
    </row>
    <row r="166" spans="1:4" ht="20.100000000000001" customHeight="1" x14ac:dyDescent="0.2">
      <c r="A166" s="7" t="s">
        <v>1325</v>
      </c>
      <c r="B166" s="8" t="s">
        <v>1324</v>
      </c>
      <c r="C166" s="189">
        <v>6.2833214066401712</v>
      </c>
      <c r="D166" s="189">
        <v>29.090883383540536</v>
      </c>
    </row>
    <row r="167" spans="1:4" ht="20.100000000000001" customHeight="1" x14ac:dyDescent="0.2">
      <c r="A167" s="7" t="s">
        <v>1326</v>
      </c>
      <c r="B167" s="8" t="s">
        <v>1327</v>
      </c>
      <c r="C167" s="189">
        <v>0</v>
      </c>
      <c r="D167" s="189">
        <v>0</v>
      </c>
    </row>
    <row r="168" spans="1:4" ht="20.100000000000001" customHeight="1" x14ac:dyDescent="0.2">
      <c r="A168" s="7" t="s">
        <v>1334</v>
      </c>
      <c r="B168" s="8" t="s">
        <v>1335</v>
      </c>
      <c r="C168" s="189">
        <v>5.7239550366268057</v>
      </c>
      <c r="D168" s="189">
        <v>4.3180104326709969</v>
      </c>
    </row>
    <row r="169" spans="1:4" ht="20.100000000000001" customHeight="1" x14ac:dyDescent="0.2">
      <c r="A169" s="7" t="s">
        <v>1336</v>
      </c>
      <c r="B169" s="8" t="s">
        <v>1335</v>
      </c>
      <c r="C169" s="189">
        <v>7.2715395937090044</v>
      </c>
      <c r="D169" s="189">
        <v>4.3016401201813919</v>
      </c>
    </row>
    <row r="170" spans="1:4" ht="20.100000000000001" customHeight="1" x14ac:dyDescent="0.2">
      <c r="A170" s="7" t="s">
        <v>1337</v>
      </c>
      <c r="B170" s="8" t="s">
        <v>1338</v>
      </c>
      <c r="C170" s="189">
        <v>0</v>
      </c>
      <c r="D170" s="189">
        <v>2.1789398020464623</v>
      </c>
    </row>
    <row r="171" spans="1:4" ht="20.100000000000001" customHeight="1" x14ac:dyDescent="0.2">
      <c r="A171" s="7" t="s">
        <v>1339</v>
      </c>
      <c r="B171" s="8" t="s">
        <v>1338</v>
      </c>
      <c r="C171" s="189">
        <v>0</v>
      </c>
      <c r="D171" s="189">
        <v>2.011219628465128</v>
      </c>
    </row>
    <row r="172" spans="1:4" ht="20.100000000000001" customHeight="1" x14ac:dyDescent="0.2">
      <c r="A172" s="7" t="s">
        <v>1340</v>
      </c>
      <c r="B172" s="8" t="s">
        <v>1338</v>
      </c>
      <c r="C172" s="189">
        <v>0</v>
      </c>
      <c r="D172" s="189">
        <v>2.0360117816521361</v>
      </c>
    </row>
    <row r="173" spans="1:4" ht="20.100000000000001" customHeight="1" x14ac:dyDescent="0.2">
      <c r="A173" s="7" t="s">
        <v>1083</v>
      </c>
      <c r="B173" s="8" t="s">
        <v>1084</v>
      </c>
      <c r="C173" s="189">
        <v>0</v>
      </c>
      <c r="D173" s="189">
        <v>0</v>
      </c>
    </row>
    <row r="174" spans="1:4" ht="20.100000000000001" customHeight="1" x14ac:dyDescent="0.2">
      <c r="A174" s="7" t="s">
        <v>1250</v>
      </c>
      <c r="B174" s="8" t="s">
        <v>1251</v>
      </c>
      <c r="C174" s="189">
        <v>0</v>
      </c>
      <c r="D174" s="189">
        <v>0</v>
      </c>
    </row>
    <row r="175" spans="1:4" ht="20.100000000000001" customHeight="1" x14ac:dyDescent="0.2">
      <c r="A175" s="7" t="s">
        <v>1399</v>
      </c>
      <c r="B175" s="8" t="s">
        <v>1400</v>
      </c>
      <c r="C175" s="189">
        <v>0</v>
      </c>
      <c r="D175" s="189">
        <v>0</v>
      </c>
    </row>
    <row r="176" spans="1:4" ht="20.100000000000001" customHeight="1" x14ac:dyDescent="0.2">
      <c r="A176" s="7" t="s">
        <v>1382</v>
      </c>
      <c r="B176" s="8" t="s">
        <v>1383</v>
      </c>
      <c r="C176" s="189">
        <v>0</v>
      </c>
      <c r="D176" s="189">
        <v>-7.8057966408251996E-3</v>
      </c>
    </row>
    <row r="177" spans="1:4" ht="20.100000000000001" customHeight="1" x14ac:dyDescent="0.2">
      <c r="A177" s="7" t="s">
        <v>1386</v>
      </c>
      <c r="B177" s="8" t="s">
        <v>1387</v>
      </c>
      <c r="C177" s="189">
        <v>0</v>
      </c>
      <c r="D177" s="189">
        <v>1.4700885715076198E-2</v>
      </c>
    </row>
    <row r="178" spans="1:4" ht="20.100000000000001" customHeight="1" x14ac:dyDescent="0.2">
      <c r="A178" s="7" t="s">
        <v>1049</v>
      </c>
      <c r="B178" s="8" t="s">
        <v>1050</v>
      </c>
      <c r="C178" s="189">
        <v>0</v>
      </c>
      <c r="D178" s="189">
        <v>0</v>
      </c>
    </row>
    <row r="179" spans="1:4" ht="20.100000000000001" customHeight="1" x14ac:dyDescent="0.2">
      <c r="A179" s="7" t="s">
        <v>1154</v>
      </c>
      <c r="B179" s="8" t="s">
        <v>1155</v>
      </c>
      <c r="C179" s="189">
        <v>1.0954204766377939E-2</v>
      </c>
      <c r="D179" s="189">
        <v>0</v>
      </c>
    </row>
    <row r="180" spans="1:4" ht="20.100000000000001" customHeight="1" x14ac:dyDescent="0.2">
      <c r="A180" s="7" t="s">
        <v>1270</v>
      </c>
      <c r="B180" s="8" t="s">
        <v>1271</v>
      </c>
      <c r="C180" s="189">
        <v>0</v>
      </c>
      <c r="D180" s="189">
        <v>0</v>
      </c>
    </row>
    <row r="181" spans="1:4" ht="20.100000000000001" customHeight="1" x14ac:dyDescent="0.2">
      <c r="A181" s="7" t="s">
        <v>1111</v>
      </c>
      <c r="B181" s="8" t="s">
        <v>1112</v>
      </c>
      <c r="C181" s="189">
        <v>0</v>
      </c>
      <c r="D181" s="189">
        <v>1.8851750274774041E-2</v>
      </c>
    </row>
    <row r="182" spans="1:4" ht="20.100000000000001" customHeight="1" x14ac:dyDescent="0.2">
      <c r="A182" s="7" t="s">
        <v>1351</v>
      </c>
      <c r="B182" s="8" t="s">
        <v>1352</v>
      </c>
      <c r="C182" s="189">
        <v>0</v>
      </c>
      <c r="D182" s="189">
        <v>1.0247693816401345E-2</v>
      </c>
    </row>
    <row r="183" spans="1:4" ht="20.100000000000001" customHeight="1" x14ac:dyDescent="0.2">
      <c r="A183" s="7" t="s">
        <v>1126</v>
      </c>
      <c r="B183" s="8" t="s">
        <v>1127</v>
      </c>
      <c r="C183" s="189">
        <v>0</v>
      </c>
      <c r="D183" s="189">
        <v>1.8179408828505124</v>
      </c>
    </row>
    <row r="184" spans="1:4" ht="20.100000000000001" customHeight="1" x14ac:dyDescent="0.2">
      <c r="A184" s="7" t="s">
        <v>1045</v>
      </c>
      <c r="B184" s="8" t="s">
        <v>1046</v>
      </c>
      <c r="C184" s="189">
        <v>0.41812418634688014</v>
      </c>
      <c r="D184" s="189">
        <v>0.94165875797739296</v>
      </c>
    </row>
    <row r="185" spans="1:4" ht="20.100000000000001" customHeight="1" x14ac:dyDescent="0.2">
      <c r="A185" s="7" t="s">
        <v>1047</v>
      </c>
      <c r="B185" s="8" t="s">
        <v>1048</v>
      </c>
      <c r="C185" s="189">
        <v>0.41812716460858435</v>
      </c>
      <c r="D185" s="189">
        <v>0.94171247790728252</v>
      </c>
    </row>
    <row r="186" spans="1:4" ht="20.100000000000001" customHeight="1" x14ac:dyDescent="0.2">
      <c r="A186" s="7" t="s">
        <v>1255</v>
      </c>
      <c r="B186" s="8" t="s">
        <v>1256</v>
      </c>
      <c r="C186" s="189">
        <v>0.41831896856341483</v>
      </c>
      <c r="D186" s="189">
        <v>0.94169717848193957</v>
      </c>
    </row>
    <row r="187" spans="1:4" ht="20.100000000000001" customHeight="1" x14ac:dyDescent="0.2">
      <c r="A187" s="7" t="s">
        <v>1308</v>
      </c>
      <c r="B187" s="8" t="s">
        <v>1309</v>
      </c>
      <c r="C187" s="189">
        <v>0.43443448359082415</v>
      </c>
      <c r="D187" s="189">
        <v>0.90334028450895021</v>
      </c>
    </row>
    <row r="188" spans="1:4" ht="20.100000000000001" customHeight="1" x14ac:dyDescent="0.2">
      <c r="A188" s="7" t="s">
        <v>1306</v>
      </c>
      <c r="B188" s="8" t="s">
        <v>1307</v>
      </c>
      <c r="C188" s="189">
        <v>0.43462684420182662</v>
      </c>
      <c r="D188" s="189">
        <v>0.91484126416059275</v>
      </c>
    </row>
    <row r="189" spans="1:4" ht="20.100000000000001" customHeight="1" x14ac:dyDescent="0.2">
      <c r="A189" s="7" t="s">
        <v>1211</v>
      </c>
      <c r="B189" s="8" t="s">
        <v>1212</v>
      </c>
      <c r="C189" s="189">
        <v>0.4407870254893409</v>
      </c>
      <c r="D189" s="189">
        <v>1.1898475446952028</v>
      </c>
    </row>
    <row r="190" spans="1:4" ht="20.100000000000001" customHeight="1" x14ac:dyDescent="0.2">
      <c r="A190" s="7" t="s">
        <v>1353</v>
      </c>
      <c r="B190" s="8" t="s">
        <v>1354</v>
      </c>
      <c r="C190" s="189">
        <v>0.43873881174382567</v>
      </c>
      <c r="D190" s="189">
        <v>1.0625785465189177</v>
      </c>
    </row>
    <row r="191" spans="1:4" ht="20.100000000000001" customHeight="1" x14ac:dyDescent="0.2">
      <c r="A191" s="7" t="s">
        <v>1123</v>
      </c>
      <c r="B191" s="8" t="s">
        <v>1124</v>
      </c>
      <c r="C191" s="189">
        <v>0.16193842823968929</v>
      </c>
      <c r="D191" s="189">
        <v>1.5541417457373123</v>
      </c>
    </row>
    <row r="192" spans="1:4" ht="20.100000000000001" customHeight="1" x14ac:dyDescent="0.2">
      <c r="A192" s="7" t="s">
        <v>1125</v>
      </c>
      <c r="B192" s="8" t="s">
        <v>1124</v>
      </c>
      <c r="C192" s="189">
        <v>0</v>
      </c>
      <c r="D192" s="189">
        <v>1.3589475744729034</v>
      </c>
    </row>
    <row r="193" spans="1:4" ht="20.100000000000001" customHeight="1" x14ac:dyDescent="0.2">
      <c r="A193" s="7" t="s">
        <v>1104</v>
      </c>
      <c r="B193" s="8" t="s">
        <v>1105</v>
      </c>
      <c r="C193" s="189">
        <v>0</v>
      </c>
      <c r="D193" s="189">
        <v>3.6888572391038946E-2</v>
      </c>
    </row>
    <row r="194" spans="1:4" ht="20.100000000000001" customHeight="1" x14ac:dyDescent="0.2">
      <c r="A194" s="7" t="s">
        <v>1075</v>
      </c>
      <c r="B194" s="8" t="s">
        <v>1076</v>
      </c>
      <c r="C194" s="189">
        <v>0</v>
      </c>
      <c r="D194" s="189">
        <v>0.42768770167160447</v>
      </c>
    </row>
    <row r="195" spans="1:4" ht="20.100000000000001" customHeight="1" x14ac:dyDescent="0.2">
      <c r="A195" s="7" t="s">
        <v>1077</v>
      </c>
      <c r="B195" s="8" t="s">
        <v>1076</v>
      </c>
      <c r="C195" s="189">
        <v>0</v>
      </c>
      <c r="D195" s="189">
        <v>0.42769836817843365</v>
      </c>
    </row>
    <row r="196" spans="1:4" ht="20.100000000000001" customHeight="1" x14ac:dyDescent="0.2">
      <c r="A196" s="7" t="s">
        <v>1078</v>
      </c>
      <c r="B196" s="8" t="s">
        <v>1076</v>
      </c>
      <c r="C196" s="189">
        <v>0</v>
      </c>
      <c r="D196" s="189">
        <v>0.66958247123500758</v>
      </c>
    </row>
    <row r="197" spans="1:4" ht="20.100000000000001" customHeight="1" x14ac:dyDescent="0.2">
      <c r="A197" s="7" t="s">
        <v>1079</v>
      </c>
      <c r="B197" s="8" t="s">
        <v>1076</v>
      </c>
      <c r="C197" s="189">
        <v>0</v>
      </c>
      <c r="D197" s="189">
        <v>0.66960618292089125</v>
      </c>
    </row>
    <row r="198" spans="1:4" ht="20.100000000000001" customHeight="1" x14ac:dyDescent="0.2">
      <c r="A198" s="7" t="s">
        <v>1128</v>
      </c>
      <c r="B198" s="8" t="s">
        <v>1129</v>
      </c>
      <c r="C198" s="189">
        <v>0.29449704395167442</v>
      </c>
      <c r="D198" s="189">
        <v>0.57323394682729023</v>
      </c>
    </row>
    <row r="199" spans="1:4" ht="20.100000000000001" customHeight="1" x14ac:dyDescent="0.2">
      <c r="A199" s="7" t="s">
        <v>1109</v>
      </c>
      <c r="B199" s="8" t="s">
        <v>1110</v>
      </c>
      <c r="C199" s="189">
        <v>2.0951083995074119E-4</v>
      </c>
      <c r="D199" s="189">
        <v>-0.92468076923021014</v>
      </c>
    </row>
    <row r="200" spans="1:4" ht="20.100000000000001" customHeight="1" x14ac:dyDescent="0.2">
      <c r="A200" s="7" t="s">
        <v>1121</v>
      </c>
      <c r="B200" s="8" t="s">
        <v>1122</v>
      </c>
      <c r="C200" s="189">
        <v>0</v>
      </c>
      <c r="D200" s="189">
        <v>-2.7259529699191575E-4</v>
      </c>
    </row>
    <row r="201" spans="1:4" ht="20.100000000000001" customHeight="1" x14ac:dyDescent="0.2">
      <c r="A201" s="7" t="s">
        <v>1217</v>
      </c>
      <c r="B201" s="8" t="s">
        <v>1218</v>
      </c>
      <c r="C201" s="189">
        <v>0.44195577364865407</v>
      </c>
      <c r="D201" s="189">
        <v>1.1806558605010695</v>
      </c>
    </row>
    <row r="202" spans="1:4" ht="20.100000000000001" customHeight="1" x14ac:dyDescent="0.2">
      <c r="A202" s="7" t="s">
        <v>1096</v>
      </c>
      <c r="B202" s="8" t="s">
        <v>1097</v>
      </c>
      <c r="C202" s="189">
        <v>0.4340759600622216</v>
      </c>
      <c r="D202" s="189">
        <v>0.92889627755524984</v>
      </c>
    </row>
    <row r="203" spans="1:4" ht="20.100000000000001" customHeight="1" x14ac:dyDescent="0.2">
      <c r="A203" s="7" t="s">
        <v>1094</v>
      </c>
      <c r="B203" s="8" t="s">
        <v>1095</v>
      </c>
      <c r="C203" s="189">
        <v>0.433601444299344</v>
      </c>
      <c r="D203" s="189">
        <v>0.90012401174070111</v>
      </c>
    </row>
    <row r="204" spans="1:4" ht="20.100000000000001" customHeight="1" x14ac:dyDescent="0.2">
      <c r="A204" s="7" t="s">
        <v>1149</v>
      </c>
      <c r="B204" s="8" t="s">
        <v>1150</v>
      </c>
      <c r="C204" s="189">
        <v>0</v>
      </c>
      <c r="D204" s="189">
        <v>1.3849540819970687E-2</v>
      </c>
    </row>
    <row r="205" spans="1:4" ht="20.100000000000001" customHeight="1" x14ac:dyDescent="0.2">
      <c r="A205" s="7" t="s">
        <v>1424</v>
      </c>
      <c r="B205" s="8" t="s">
        <v>1425</v>
      </c>
      <c r="C205" s="189">
        <v>0</v>
      </c>
      <c r="D205" s="189">
        <v>0</v>
      </c>
    </row>
    <row r="206" spans="1:4" ht="20.100000000000001" customHeight="1" x14ac:dyDescent="0.2">
      <c r="A206" s="7" t="s">
        <v>1476</v>
      </c>
      <c r="B206" s="8" t="s">
        <v>1477</v>
      </c>
      <c r="C206" s="189">
        <v>0</v>
      </c>
      <c r="D206" s="189">
        <v>0.93702767634002915</v>
      </c>
    </row>
    <row r="207" spans="1:4" ht="20.100000000000001" customHeight="1" x14ac:dyDescent="0.2">
      <c r="A207" s="7" t="s">
        <v>1478</v>
      </c>
      <c r="B207" s="8" t="s">
        <v>1477</v>
      </c>
      <c r="C207" s="189">
        <v>0</v>
      </c>
      <c r="D207" s="189">
        <v>0.9355927744746213</v>
      </c>
    </row>
    <row r="208" spans="1:4" ht="20.100000000000001" customHeight="1" x14ac:dyDescent="0.2">
      <c r="A208" s="7" t="s">
        <v>1432</v>
      </c>
      <c r="B208" s="8" t="s">
        <v>1433</v>
      </c>
      <c r="C208" s="189">
        <v>-1.0153920252638144E-4</v>
      </c>
      <c r="D208" s="189">
        <v>-4.4109179213380846E-2</v>
      </c>
    </row>
    <row r="209" spans="1:4" ht="20.100000000000001" customHeight="1" x14ac:dyDescent="0.2">
      <c r="A209" s="7" t="s">
        <v>1434</v>
      </c>
      <c r="B209" s="8" t="s">
        <v>1433</v>
      </c>
      <c r="C209" s="189">
        <v>9.9060605017698257E-5</v>
      </c>
      <c r="D209" s="189">
        <v>0.13064403663167268</v>
      </c>
    </row>
    <row r="210" spans="1:4" ht="20.100000000000001" customHeight="1" x14ac:dyDescent="0.2">
      <c r="A210" s="7" t="s">
        <v>1489</v>
      </c>
      <c r="B210" s="8" t="s">
        <v>1490</v>
      </c>
      <c r="C210" s="189">
        <v>0</v>
      </c>
      <c r="D210" s="189">
        <v>0.1404872972148106</v>
      </c>
    </row>
    <row r="211" spans="1:4" ht="20.100000000000001" customHeight="1" x14ac:dyDescent="0.2">
      <c r="A211" s="7" t="s">
        <v>1491</v>
      </c>
      <c r="B211" s="8" t="s">
        <v>1490</v>
      </c>
      <c r="C211" s="189">
        <v>0</v>
      </c>
      <c r="D211" s="189">
        <v>-0.21550877996517293</v>
      </c>
    </row>
    <row r="212" spans="1:4" ht="20.100000000000001" customHeight="1" x14ac:dyDescent="0.2">
      <c r="A212" s="7" t="s">
        <v>1482</v>
      </c>
      <c r="B212" s="8" t="s">
        <v>1483</v>
      </c>
      <c r="C212" s="189">
        <v>0</v>
      </c>
      <c r="D212" s="189">
        <v>0</v>
      </c>
    </row>
    <row r="213" spans="1:4" ht="20.100000000000001" customHeight="1" x14ac:dyDescent="0.2">
      <c r="A213" s="7" t="s">
        <v>1302</v>
      </c>
      <c r="B213" s="8" t="s">
        <v>1303</v>
      </c>
      <c r="C213" s="189">
        <v>0</v>
      </c>
      <c r="D213" s="189">
        <v>1.3968916578500701</v>
      </c>
    </row>
    <row r="214" spans="1:4" ht="20.100000000000001" customHeight="1" x14ac:dyDescent="0.2">
      <c r="A214" s="7" t="s">
        <v>1341</v>
      </c>
      <c r="B214" s="8" t="s">
        <v>1342</v>
      </c>
      <c r="C214" s="189">
        <v>0</v>
      </c>
      <c r="D214" s="189">
        <v>2.8575035665705196E-3</v>
      </c>
    </row>
    <row r="215" spans="1:4" ht="20.100000000000001" customHeight="1" x14ac:dyDescent="0.2">
      <c r="A215" s="7" t="s">
        <v>1484</v>
      </c>
      <c r="B215" s="8" t="s">
        <v>1485</v>
      </c>
      <c r="C215" s="189">
        <v>0</v>
      </c>
      <c r="D215" s="189">
        <v>0.86205915153112445</v>
      </c>
    </row>
    <row r="216" spans="1:4" ht="20.100000000000001" customHeight="1" x14ac:dyDescent="0.2">
      <c r="A216" s="7" t="s">
        <v>1158</v>
      </c>
      <c r="B216" s="8" t="s">
        <v>1159</v>
      </c>
      <c r="C216" s="189">
        <v>0.44259773315433582</v>
      </c>
      <c r="D216" s="189">
        <v>0.942171173332915</v>
      </c>
    </row>
    <row r="217" spans="1:4" ht="20.100000000000001" customHeight="1" x14ac:dyDescent="0.2">
      <c r="A217" s="7" t="s">
        <v>1156</v>
      </c>
      <c r="B217" s="8" t="s">
        <v>1157</v>
      </c>
      <c r="C217" s="189">
        <v>0.44326256963337496</v>
      </c>
      <c r="D217" s="189">
        <v>0.97948521029874125</v>
      </c>
    </row>
    <row r="218" spans="1:4" ht="20.100000000000001" customHeight="1" x14ac:dyDescent="0.2">
      <c r="A218" s="7" t="s">
        <v>1408</v>
      </c>
      <c r="B218" s="8" t="s">
        <v>1409</v>
      </c>
      <c r="C218" s="189">
        <v>0.41870963976871006</v>
      </c>
      <c r="D218" s="189">
        <v>0.98895264231745039</v>
      </c>
    </row>
    <row r="219" spans="1:4" ht="20.100000000000001" customHeight="1" x14ac:dyDescent="0.2">
      <c r="A219" s="7" t="s">
        <v>1406</v>
      </c>
      <c r="B219" s="8" t="s">
        <v>1407</v>
      </c>
      <c r="C219" s="189">
        <v>0.44357714240028695</v>
      </c>
      <c r="D219" s="189">
        <v>0.94766764172996232</v>
      </c>
    </row>
    <row r="220" spans="1:4" ht="20.100000000000001" customHeight="1" x14ac:dyDescent="0.2">
      <c r="A220" s="7" t="s">
        <v>1498</v>
      </c>
      <c r="B220" s="8" t="s">
        <v>1499</v>
      </c>
      <c r="C220" s="189">
        <v>0.3653658455538068</v>
      </c>
      <c r="D220" s="189">
        <v>0.9943689791511332</v>
      </c>
    </row>
    <row r="221" spans="1:4" ht="20.100000000000001" customHeight="1" x14ac:dyDescent="0.2">
      <c r="A221" s="7" t="s">
        <v>1500</v>
      </c>
      <c r="B221" s="8" t="s">
        <v>1501</v>
      </c>
      <c r="C221" s="189">
        <v>0.36535443541186174</v>
      </c>
      <c r="D221" s="189">
        <v>0.9943494838346727</v>
      </c>
    </row>
    <row r="222" spans="1:4" ht="20.100000000000001" customHeight="1" x14ac:dyDescent="0.2">
      <c r="A222" s="7" t="s">
        <v>1343</v>
      </c>
      <c r="B222" s="8" t="s">
        <v>1344</v>
      </c>
      <c r="C222" s="189">
        <v>0.36744455957339167</v>
      </c>
      <c r="D222" s="189">
        <v>0.99476925210675171</v>
      </c>
    </row>
    <row r="223" spans="1:4" ht="20.100000000000001" customHeight="1" x14ac:dyDescent="0.2">
      <c r="A223" s="7" t="s">
        <v>1345</v>
      </c>
      <c r="B223" s="8" t="s">
        <v>1346</v>
      </c>
      <c r="C223" s="189">
        <v>0.36744439484432079</v>
      </c>
      <c r="D223" s="189">
        <v>0.99476925390954851</v>
      </c>
    </row>
    <row r="224" spans="1:4" ht="20.100000000000001" customHeight="1" x14ac:dyDescent="0.2">
      <c r="A224" s="7" t="s">
        <v>1347</v>
      </c>
      <c r="B224" s="8" t="s">
        <v>1348</v>
      </c>
      <c r="C224" s="189">
        <v>0.36740326339147555</v>
      </c>
      <c r="D224" s="189">
        <v>0.99476842258310905</v>
      </c>
    </row>
    <row r="225" spans="1:4" ht="20.100000000000001" customHeight="1" x14ac:dyDescent="0.2">
      <c r="A225" s="7" t="s">
        <v>1349</v>
      </c>
      <c r="B225" s="8" t="s">
        <v>1350</v>
      </c>
      <c r="C225" s="189">
        <v>0.36734853520710964</v>
      </c>
      <c r="D225" s="189">
        <v>0.99476594056594059</v>
      </c>
    </row>
    <row r="226" spans="1:4" ht="20.100000000000001" customHeight="1" x14ac:dyDescent="0.2">
      <c r="A226" s="7" t="s">
        <v>1330</v>
      </c>
      <c r="B226" s="8" t="s">
        <v>1331</v>
      </c>
      <c r="C226" s="189">
        <v>0.43710486813425514</v>
      </c>
      <c r="D226" s="189">
        <v>0.93717302615055442</v>
      </c>
    </row>
    <row r="227" spans="1:4" ht="20.100000000000001" customHeight="1" x14ac:dyDescent="0.2">
      <c r="A227" s="7" t="s">
        <v>1215</v>
      </c>
      <c r="B227" s="8" t="s">
        <v>1216</v>
      </c>
      <c r="C227" s="189">
        <v>0.43635991494564064</v>
      </c>
      <c r="D227" s="189">
        <v>0.93098815877356289</v>
      </c>
    </row>
    <row r="228" spans="1:4" ht="20.100000000000001" customHeight="1" x14ac:dyDescent="0.2">
      <c r="A228" s="7" t="s">
        <v>1332</v>
      </c>
      <c r="B228" s="8" t="s">
        <v>1333</v>
      </c>
      <c r="C228" s="189">
        <v>0.43766015482596204</v>
      </c>
      <c r="D228" s="189">
        <v>0.94799052344036183</v>
      </c>
    </row>
    <row r="229" spans="1:4" ht="20.100000000000001" customHeight="1" x14ac:dyDescent="0.2">
      <c r="A229" s="7" t="s">
        <v>1404</v>
      </c>
      <c r="B229" s="8" t="s">
        <v>1405</v>
      </c>
      <c r="C229" s="189">
        <v>0.41814534926079372</v>
      </c>
      <c r="D229" s="189">
        <v>0.94127656840290197</v>
      </c>
    </row>
    <row r="230" spans="1:4" ht="20.100000000000001" customHeight="1" x14ac:dyDescent="0.2">
      <c r="A230" s="7" t="s">
        <v>1294</v>
      </c>
      <c r="B230" s="8" t="s">
        <v>1295</v>
      </c>
      <c r="C230" s="189">
        <v>1.0842928025574062E-6</v>
      </c>
      <c r="D230" s="189">
        <v>6.1951829961944958</v>
      </c>
    </row>
    <row r="231" spans="1:4" ht="20.100000000000001" customHeight="1" x14ac:dyDescent="0.2">
      <c r="A231" s="7" t="s">
        <v>1213</v>
      </c>
      <c r="B231" s="8" t="s">
        <v>1214</v>
      </c>
      <c r="C231" s="189">
        <v>0.43654695462226512</v>
      </c>
      <c r="D231" s="189">
        <v>0.93435577441575779</v>
      </c>
    </row>
    <row r="232" spans="1:4" ht="20.100000000000001" customHeight="1" x14ac:dyDescent="0.2">
      <c r="A232" s="7" t="s">
        <v>1062</v>
      </c>
      <c r="B232" s="8" t="s">
        <v>1063</v>
      </c>
      <c r="C232" s="189">
        <v>0.43324040132661962</v>
      </c>
      <c r="D232" s="189">
        <v>0.89156518550818864</v>
      </c>
    </row>
    <row r="233" spans="1:4" ht="20.100000000000001" customHeight="1" x14ac:dyDescent="0.2">
      <c r="A233" s="7" t="s">
        <v>1060</v>
      </c>
      <c r="B233" s="8" t="s">
        <v>1061</v>
      </c>
      <c r="C233" s="189">
        <v>0.43220863205981186</v>
      </c>
      <c r="D233" s="189">
        <v>0.87680830214453698</v>
      </c>
    </row>
    <row r="234" spans="1:4" ht="20.100000000000001" customHeight="1" x14ac:dyDescent="0.2">
      <c r="A234" s="7" t="s">
        <v>1328</v>
      </c>
      <c r="B234" s="8" t="s">
        <v>1329</v>
      </c>
      <c r="C234" s="189">
        <v>0</v>
      </c>
      <c r="D234" s="189">
        <v>1.4741165584409879E-2</v>
      </c>
    </row>
    <row r="235" spans="1:4" ht="20.100000000000001" customHeight="1" x14ac:dyDescent="0.2">
      <c r="A235" s="7" t="s">
        <v>1492</v>
      </c>
      <c r="B235" s="8" t="s">
        <v>1493</v>
      </c>
      <c r="C235" s="189">
        <v>0.18950063124925443</v>
      </c>
      <c r="D235" s="189">
        <v>0.98728436438715073</v>
      </c>
    </row>
    <row r="236" spans="1:4" ht="20.100000000000001" customHeight="1" x14ac:dyDescent="0.2">
      <c r="A236" s="7" t="s">
        <v>1494</v>
      </c>
      <c r="B236" s="8" t="s">
        <v>1493</v>
      </c>
      <c r="C236" s="189">
        <v>0.18950024473557289</v>
      </c>
      <c r="D236" s="189">
        <v>0.98728371383915881</v>
      </c>
    </row>
    <row r="237" spans="1:4" ht="20.100000000000001" customHeight="1" x14ac:dyDescent="0.2">
      <c r="A237" s="7" t="s">
        <v>1435</v>
      </c>
      <c r="B237" s="8" t="s">
        <v>1436</v>
      </c>
      <c r="C237" s="189">
        <v>2.7441034625886606E-6</v>
      </c>
      <c r="D237" s="189">
        <v>-3.3363095192889548E-4</v>
      </c>
    </row>
    <row r="238" spans="1:4" ht="20.100000000000001" customHeight="1" x14ac:dyDescent="0.2">
      <c r="A238" s="7" t="s">
        <v>1437</v>
      </c>
      <c r="B238" s="8" t="s">
        <v>1436</v>
      </c>
      <c r="C238" s="189">
        <v>2.7441034625886606E-6</v>
      </c>
      <c r="D238" s="189">
        <v>-3.3363095192889548E-4</v>
      </c>
    </row>
    <row r="239" spans="1:4" ht="20.100000000000001" customHeight="1" x14ac:dyDescent="0.2">
      <c r="A239" s="7" t="s">
        <v>1358</v>
      </c>
      <c r="B239" s="8" t="s">
        <v>1359</v>
      </c>
      <c r="C239" s="189">
        <v>0.36711167846583942</v>
      </c>
      <c r="D239" s="189">
        <v>0.99469033773318927</v>
      </c>
    </row>
    <row r="240" spans="1:4" ht="20.100000000000001" customHeight="1" x14ac:dyDescent="0.2">
      <c r="A240" s="7" t="s">
        <v>1360</v>
      </c>
      <c r="B240" s="8" t="s">
        <v>1361</v>
      </c>
      <c r="C240" s="189">
        <v>0.36683695117670356</v>
      </c>
      <c r="D240" s="189">
        <v>0.99466618770899307</v>
      </c>
    </row>
    <row r="241" spans="1:4" ht="20.100000000000001" customHeight="1" x14ac:dyDescent="0.2">
      <c r="A241" s="7" t="s">
        <v>1304</v>
      </c>
      <c r="B241" s="8" t="s">
        <v>1305</v>
      </c>
      <c r="C241" s="189">
        <v>0.49104738703023459</v>
      </c>
      <c r="D241" s="189">
        <v>0.9895394034008218</v>
      </c>
    </row>
    <row r="242" spans="1:4" ht="20.100000000000001" customHeight="1" x14ac:dyDescent="0.2">
      <c r="A242" s="7" t="s">
        <v>1355</v>
      </c>
      <c r="B242" s="8" t="s">
        <v>1356</v>
      </c>
      <c r="C242" s="189">
        <v>2.4657261405541275</v>
      </c>
      <c r="D242" s="189">
        <v>5.6174139836944708</v>
      </c>
    </row>
    <row r="243" spans="1:4" ht="20.100000000000001" customHeight="1" x14ac:dyDescent="0.2">
      <c r="A243" s="7" t="s">
        <v>1357</v>
      </c>
      <c r="B243" s="8" t="s">
        <v>1356</v>
      </c>
      <c r="C243" s="189">
        <v>2.7733387999886245</v>
      </c>
      <c r="D243" s="189">
        <v>4.9994011443450486</v>
      </c>
    </row>
    <row r="244" spans="1:4" ht="20.100000000000001" customHeight="1" x14ac:dyDescent="0.2">
      <c r="A244" s="7" t="s">
        <v>1362</v>
      </c>
      <c r="B244" s="8" t="s">
        <v>1363</v>
      </c>
      <c r="C244" s="189">
        <v>3.0749781326170331</v>
      </c>
      <c r="D244" s="189">
        <v>14.241858528079298</v>
      </c>
    </row>
    <row r="245" spans="1:4" ht="20.100000000000001" customHeight="1" x14ac:dyDescent="0.2">
      <c r="A245" s="7" t="s">
        <v>1364</v>
      </c>
      <c r="B245" s="8" t="s">
        <v>1363</v>
      </c>
      <c r="C245" s="189">
        <v>9.9155430190204716E-3</v>
      </c>
      <c r="D245" s="189">
        <v>9.3424406957895698</v>
      </c>
    </row>
    <row r="246" spans="1:4" ht="20.100000000000001" customHeight="1" x14ac:dyDescent="0.2">
      <c r="A246" s="7" t="s">
        <v>1365</v>
      </c>
      <c r="B246" s="8" t="s">
        <v>1363</v>
      </c>
      <c r="C246" s="189">
        <v>1.1805363945993292</v>
      </c>
      <c r="D246" s="189">
        <v>15.040762359056242</v>
      </c>
    </row>
    <row r="247" spans="1:4" ht="20.100000000000001" customHeight="1" x14ac:dyDescent="0.2">
      <c r="A247" s="7" t="s">
        <v>1366</v>
      </c>
      <c r="B247" s="8" t="s">
        <v>1363</v>
      </c>
      <c r="C247" s="189">
        <v>2.2080307144956074E-3</v>
      </c>
      <c r="D247" s="189">
        <v>6.959861779199942</v>
      </c>
    </row>
    <row r="248" spans="1:4" ht="20.100000000000001" customHeight="1" x14ac:dyDescent="0.2">
      <c r="A248" s="7" t="s">
        <v>1367</v>
      </c>
      <c r="B248" s="8" t="s">
        <v>1368</v>
      </c>
      <c r="C248" s="189">
        <v>0</v>
      </c>
      <c r="D248" s="189">
        <v>0.80556397647316991</v>
      </c>
    </row>
    <row r="249" spans="1:4" ht="20.100000000000001" customHeight="1" x14ac:dyDescent="0.2">
      <c r="A249" s="7" t="s">
        <v>1369</v>
      </c>
      <c r="B249" s="8" t="s">
        <v>1368</v>
      </c>
      <c r="C249" s="189">
        <v>1.3866843483411893</v>
      </c>
      <c r="D249" s="189">
        <v>12.159753883474021</v>
      </c>
    </row>
    <row r="250" spans="1:4" ht="20.100000000000001" customHeight="1" x14ac:dyDescent="0.2">
      <c r="A250" s="7" t="s">
        <v>1370</v>
      </c>
      <c r="B250" s="8" t="s">
        <v>1368</v>
      </c>
      <c r="C250" s="189">
        <v>1.1193080129377995</v>
      </c>
      <c r="D250" s="189">
        <v>13.000365214217673</v>
      </c>
    </row>
    <row r="251" spans="1:4" ht="20.100000000000001" customHeight="1" x14ac:dyDescent="0.2">
      <c r="A251" s="7" t="s">
        <v>1371</v>
      </c>
      <c r="B251" s="8" t="s">
        <v>1372</v>
      </c>
      <c r="C251" s="189">
        <v>3.7347846875052286</v>
      </c>
      <c r="D251" s="189">
        <v>15.771891413401095</v>
      </c>
    </row>
    <row r="252" spans="1:4" ht="20.100000000000001" customHeight="1" x14ac:dyDescent="0.2">
      <c r="A252" s="7" t="s">
        <v>1373</v>
      </c>
      <c r="B252" s="8" t="s">
        <v>1372</v>
      </c>
      <c r="C252" s="189">
        <v>2.9135822280337607</v>
      </c>
      <c r="D252" s="189">
        <v>15.981931314695128</v>
      </c>
    </row>
    <row r="253" spans="1:4" ht="20.100000000000001" customHeight="1" x14ac:dyDescent="0.2">
      <c r="A253" s="7" t="s">
        <v>1374</v>
      </c>
      <c r="B253" s="8" t="s">
        <v>1375</v>
      </c>
      <c r="C253" s="189">
        <v>3.4531282988415439</v>
      </c>
      <c r="D253" s="189">
        <v>3.4674844698306573</v>
      </c>
    </row>
    <row r="254" spans="1:4" ht="20.100000000000001" customHeight="1" x14ac:dyDescent="0.2">
      <c r="A254" s="7" t="s">
        <v>1376</v>
      </c>
      <c r="B254" s="8" t="s">
        <v>1375</v>
      </c>
      <c r="C254" s="189">
        <v>1.2362703066726772</v>
      </c>
      <c r="D254" s="189">
        <v>4.4176322107204689</v>
      </c>
    </row>
    <row r="255" spans="1:4" ht="20.100000000000001" customHeight="1" x14ac:dyDescent="0.2">
      <c r="A255" s="7" t="s">
        <v>1377</v>
      </c>
      <c r="B255" s="8" t="s">
        <v>1378</v>
      </c>
      <c r="C255" s="189">
        <v>4.1242243747061567</v>
      </c>
      <c r="D255" s="189">
        <v>15.476381434996426</v>
      </c>
    </row>
    <row r="256" spans="1:4" ht="20.100000000000001" customHeight="1" x14ac:dyDescent="0.2">
      <c r="A256" s="7" t="s">
        <v>1379</v>
      </c>
      <c r="B256" s="8" t="s">
        <v>1380</v>
      </c>
      <c r="C256" s="189">
        <v>0</v>
      </c>
      <c r="D256" s="189">
        <v>3.1118597130890722</v>
      </c>
    </row>
    <row r="257" spans="1:4" ht="20.100000000000001" customHeight="1" x14ac:dyDescent="0.2">
      <c r="A257" s="7" t="s">
        <v>1381</v>
      </c>
      <c r="B257" s="8" t="s">
        <v>1380</v>
      </c>
      <c r="C257" s="189">
        <v>0</v>
      </c>
      <c r="D257" s="189">
        <v>2.6412650595676506</v>
      </c>
    </row>
    <row r="258" spans="1:4" ht="20.100000000000001" customHeight="1" x14ac:dyDescent="0.2">
      <c r="A258" s="7" t="s">
        <v>1384</v>
      </c>
      <c r="B258" s="8" t="s">
        <v>1385</v>
      </c>
      <c r="C258" s="189">
        <v>2.4716235792627321</v>
      </c>
      <c r="D258" s="189">
        <v>6.9719104746597376</v>
      </c>
    </row>
    <row r="259" spans="1:4" ht="20.100000000000001" customHeight="1" x14ac:dyDescent="0.2">
      <c r="A259" s="7" t="s">
        <v>1388</v>
      </c>
      <c r="B259" s="8" t="s">
        <v>1389</v>
      </c>
      <c r="C259" s="189">
        <v>0</v>
      </c>
      <c r="D259" s="189">
        <v>0.51516228069017245</v>
      </c>
    </row>
    <row r="260" spans="1:4" ht="20.100000000000001" customHeight="1" x14ac:dyDescent="0.2">
      <c r="A260" s="7" t="s">
        <v>1390</v>
      </c>
      <c r="B260" s="8" t="s">
        <v>1389</v>
      </c>
      <c r="C260" s="189">
        <v>0</v>
      </c>
      <c r="D260" s="189">
        <v>0.25527092295229736</v>
      </c>
    </row>
    <row r="261" spans="1:4" ht="20.100000000000001" customHeight="1" x14ac:dyDescent="0.2">
      <c r="A261" s="7" t="s">
        <v>1391</v>
      </c>
      <c r="B261" s="8" t="s">
        <v>1389</v>
      </c>
      <c r="C261" s="189">
        <v>0</v>
      </c>
      <c r="D261" s="189">
        <v>3.0988049085530871E-2</v>
      </c>
    </row>
    <row r="262" spans="1:4" ht="20.100000000000001" customHeight="1" x14ac:dyDescent="0.2">
      <c r="A262" s="7" t="s">
        <v>1396</v>
      </c>
      <c r="B262" s="8" t="s">
        <v>1397</v>
      </c>
      <c r="C262" s="189">
        <v>0</v>
      </c>
      <c r="D262" s="189">
        <v>1.5508418022711279E-2</v>
      </c>
    </row>
    <row r="263" spans="1:4" ht="20.100000000000001" customHeight="1" x14ac:dyDescent="0.2">
      <c r="A263" s="7" t="s">
        <v>1398</v>
      </c>
      <c r="B263" s="8" t="s">
        <v>1397</v>
      </c>
      <c r="C263" s="189">
        <v>0</v>
      </c>
      <c r="D263" s="189">
        <v>1.5109531965042843E-2</v>
      </c>
    </row>
    <row r="264" spans="1:4" ht="20.100000000000001" customHeight="1" x14ac:dyDescent="0.2">
      <c r="A264" s="7" t="s">
        <v>1392</v>
      </c>
      <c r="B264" s="8" t="s">
        <v>1393</v>
      </c>
      <c r="C264" s="189">
        <v>0</v>
      </c>
      <c r="D264" s="189">
        <v>-1.3929395258471082</v>
      </c>
    </row>
    <row r="265" spans="1:4" ht="20.100000000000001" customHeight="1" x14ac:dyDescent="0.2">
      <c r="A265" s="7" t="s">
        <v>1394</v>
      </c>
      <c r="B265" s="8" t="s">
        <v>1393</v>
      </c>
      <c r="C265" s="189">
        <v>0</v>
      </c>
      <c r="D265" s="189">
        <v>-1.7757105494990268</v>
      </c>
    </row>
    <row r="266" spans="1:4" ht="20.100000000000001" customHeight="1" x14ac:dyDescent="0.2">
      <c r="A266" s="7" t="s">
        <v>1395</v>
      </c>
      <c r="B266" s="8" t="s">
        <v>1393</v>
      </c>
      <c r="C266" s="189">
        <v>0</v>
      </c>
      <c r="D266" s="189">
        <v>-1.7440963267893894</v>
      </c>
    </row>
    <row r="267" spans="1:4" ht="20.100000000000001" customHeight="1" x14ac:dyDescent="0.2">
      <c r="A267" s="7" t="s">
        <v>1401</v>
      </c>
      <c r="B267" s="8" t="s">
        <v>1402</v>
      </c>
      <c r="C267" s="189">
        <v>0</v>
      </c>
      <c r="D267" s="189">
        <v>1.1823926292168063</v>
      </c>
    </row>
    <row r="268" spans="1:4" ht="20.100000000000001" customHeight="1" x14ac:dyDescent="0.2">
      <c r="A268" s="7" t="s">
        <v>1403</v>
      </c>
      <c r="B268" s="8" t="s">
        <v>1402</v>
      </c>
      <c r="C268" s="189">
        <v>4.5843793688348559E-2</v>
      </c>
      <c r="D268" s="189">
        <v>1.5383715204409423</v>
      </c>
    </row>
    <row r="269" spans="1:4" ht="20.100000000000001" customHeight="1" x14ac:dyDescent="0.2">
      <c r="A269" s="7" t="s">
        <v>1413</v>
      </c>
      <c r="B269" s="8" t="s">
        <v>1414</v>
      </c>
      <c r="C269" s="189">
        <v>2.7943384434414673</v>
      </c>
      <c r="D269" s="189">
        <v>5.3606051498964877</v>
      </c>
    </row>
    <row r="270" spans="1:4" ht="20.100000000000001" customHeight="1" x14ac:dyDescent="0.2">
      <c r="A270" s="7" t="s">
        <v>1415</v>
      </c>
      <c r="B270" s="8" t="s">
        <v>1414</v>
      </c>
      <c r="C270" s="189">
        <v>2.7796360143225227</v>
      </c>
      <c r="D270" s="189">
        <v>5.3693132826060186</v>
      </c>
    </row>
    <row r="271" spans="1:4" ht="20.100000000000001" customHeight="1" x14ac:dyDescent="0.2">
      <c r="A271" s="7" t="s">
        <v>1416</v>
      </c>
      <c r="B271" s="8" t="s">
        <v>1417</v>
      </c>
      <c r="C271" s="189">
        <v>0.2508251989891021</v>
      </c>
      <c r="D271" s="189">
        <v>11.5475824620874</v>
      </c>
    </row>
    <row r="272" spans="1:4" ht="20.100000000000001" customHeight="1" x14ac:dyDescent="0.2">
      <c r="A272" s="7" t="s">
        <v>1418</v>
      </c>
      <c r="B272" s="8" t="s">
        <v>1419</v>
      </c>
      <c r="C272" s="189">
        <v>5.8447937600608206</v>
      </c>
      <c r="D272" s="189">
        <v>2.919415697574955</v>
      </c>
    </row>
    <row r="273" spans="1:4" ht="20.100000000000001" customHeight="1" x14ac:dyDescent="0.2">
      <c r="A273" s="7" t="s">
        <v>1420</v>
      </c>
      <c r="B273" s="8" t="s">
        <v>1419</v>
      </c>
      <c r="C273" s="189">
        <v>2.4060797052620657</v>
      </c>
      <c r="D273" s="189">
        <v>2.9031066013751659</v>
      </c>
    </row>
    <row r="274" spans="1:4" ht="20.100000000000001" customHeight="1" x14ac:dyDescent="0.2">
      <c r="A274" s="7" t="s">
        <v>1421</v>
      </c>
      <c r="B274" s="8" t="s">
        <v>1419</v>
      </c>
      <c r="C274" s="189">
        <v>1.0079725831501538</v>
      </c>
      <c r="D274" s="189">
        <v>3.0116103355496358</v>
      </c>
    </row>
    <row r="275" spans="1:4" ht="20.100000000000001" customHeight="1" x14ac:dyDescent="0.2">
      <c r="A275" s="7" t="s">
        <v>1422</v>
      </c>
      <c r="B275" s="8" t="s">
        <v>1423</v>
      </c>
      <c r="C275" s="189">
        <v>0</v>
      </c>
      <c r="D275" s="189">
        <v>0.46125655198130133</v>
      </c>
    </row>
    <row r="276" spans="1:4" ht="20.100000000000001" customHeight="1" x14ac:dyDescent="0.2">
      <c r="A276" s="7" t="s">
        <v>1410</v>
      </c>
      <c r="B276" s="8" t="s">
        <v>1411</v>
      </c>
      <c r="C276" s="189">
        <v>3.5253356223622188</v>
      </c>
      <c r="D276" s="189">
        <v>2.4386939602997646E-3</v>
      </c>
    </row>
    <row r="277" spans="1:4" ht="20.100000000000001" customHeight="1" x14ac:dyDescent="0.2">
      <c r="A277" s="7" t="s">
        <v>1412</v>
      </c>
      <c r="B277" s="8" t="s">
        <v>1411</v>
      </c>
      <c r="C277" s="189">
        <v>2.2087356471717627</v>
      </c>
      <c r="D277" s="189">
        <v>2.3913335698909095E-3</v>
      </c>
    </row>
    <row r="278" spans="1:4" ht="20.100000000000001" customHeight="1" x14ac:dyDescent="0.2">
      <c r="A278" s="7" t="s">
        <v>1426</v>
      </c>
      <c r="B278" s="8" t="s">
        <v>1427</v>
      </c>
      <c r="C278" s="189">
        <v>0</v>
      </c>
      <c r="D278" s="189">
        <v>1.1003035702853209E-3</v>
      </c>
    </row>
    <row r="279" spans="1:4" ht="20.100000000000001" customHeight="1" x14ac:dyDescent="0.2">
      <c r="A279" s="7" t="s">
        <v>1428</v>
      </c>
      <c r="B279" s="8" t="s">
        <v>1427</v>
      </c>
      <c r="C279" s="189">
        <v>0</v>
      </c>
      <c r="D279" s="189">
        <v>9.9169493251666067E-4</v>
      </c>
    </row>
    <row r="280" spans="1:4" ht="20.100000000000001" customHeight="1" x14ac:dyDescent="0.2">
      <c r="A280" s="7" t="s">
        <v>1429</v>
      </c>
      <c r="B280" s="8" t="s">
        <v>1430</v>
      </c>
      <c r="C280" s="189">
        <v>1.629062253741542</v>
      </c>
      <c r="D280" s="189">
        <v>1.5066894668715634</v>
      </c>
    </row>
    <row r="281" spans="1:4" ht="20.100000000000001" customHeight="1" x14ac:dyDescent="0.2">
      <c r="A281" s="7" t="s">
        <v>1431</v>
      </c>
      <c r="B281" s="8" t="s">
        <v>1430</v>
      </c>
      <c r="C281" s="189">
        <v>1.085147018068447</v>
      </c>
      <c r="D281" s="189">
        <v>1.5663027299869301</v>
      </c>
    </row>
    <row r="282" spans="1:4" ht="20.100000000000001" customHeight="1" x14ac:dyDescent="0.2">
      <c r="A282" s="7" t="s">
        <v>1438</v>
      </c>
      <c r="B282" s="8" t="s">
        <v>1439</v>
      </c>
      <c r="C282" s="189">
        <v>0.24200848626092544</v>
      </c>
      <c r="D282" s="189">
        <v>-1.725123388539181</v>
      </c>
    </row>
    <row r="283" spans="1:4" ht="20.100000000000001" customHeight="1" x14ac:dyDescent="0.2">
      <c r="A283" s="7" t="s">
        <v>1440</v>
      </c>
      <c r="B283" s="8" t="s">
        <v>1441</v>
      </c>
      <c r="C283" s="189">
        <v>0.31412761221957503</v>
      </c>
      <c r="D283" s="189">
        <v>4.228489215884732</v>
      </c>
    </row>
    <row r="284" spans="1:4" ht="20.100000000000001" customHeight="1" x14ac:dyDescent="0.2">
      <c r="A284" s="7" t="s">
        <v>1442</v>
      </c>
      <c r="B284" s="8" t="s">
        <v>1441</v>
      </c>
      <c r="C284" s="189">
        <v>0.31400695433815695</v>
      </c>
      <c r="D284" s="189">
        <v>4.2960619607206567</v>
      </c>
    </row>
    <row r="285" spans="1:4" ht="20.100000000000001" customHeight="1" x14ac:dyDescent="0.2">
      <c r="A285" s="7" t="s">
        <v>1443</v>
      </c>
      <c r="B285" s="8" t="s">
        <v>1441</v>
      </c>
      <c r="C285" s="189">
        <v>7.8705673095959522E-2</v>
      </c>
      <c r="D285" s="189">
        <v>4.2367442781975964</v>
      </c>
    </row>
    <row r="286" spans="1:4" ht="20.100000000000001" customHeight="1" x14ac:dyDescent="0.2">
      <c r="A286" s="7" t="s">
        <v>1444</v>
      </c>
      <c r="B286" s="8" t="s">
        <v>1445</v>
      </c>
      <c r="C286" s="189">
        <v>3.2936744248390704</v>
      </c>
      <c r="D286" s="189">
        <v>4.2648539438109649</v>
      </c>
    </row>
    <row r="287" spans="1:4" ht="20.100000000000001" customHeight="1" x14ac:dyDescent="0.2">
      <c r="A287" s="7" t="s">
        <v>1446</v>
      </c>
      <c r="B287" s="8" t="s">
        <v>1445</v>
      </c>
      <c r="C287" s="189">
        <v>3.9838365572444858</v>
      </c>
      <c r="D287" s="189">
        <v>4.1803718644002519</v>
      </c>
    </row>
    <row r="288" spans="1:4" ht="20.100000000000001" customHeight="1" x14ac:dyDescent="0.2">
      <c r="A288" s="7" t="s">
        <v>1447</v>
      </c>
      <c r="B288" s="8" t="s">
        <v>1448</v>
      </c>
      <c r="C288" s="189">
        <v>3.9572037197424415</v>
      </c>
      <c r="D288" s="189">
        <v>2.7410386649949579</v>
      </c>
    </row>
    <row r="289" spans="1:4" ht="20.100000000000001" customHeight="1" x14ac:dyDescent="0.2">
      <c r="A289" s="7" t="s">
        <v>1449</v>
      </c>
      <c r="B289" s="8" t="s">
        <v>1448</v>
      </c>
      <c r="C289" s="189">
        <v>5.0396336013016816</v>
      </c>
      <c r="D289" s="189">
        <v>2.2455074290096477</v>
      </c>
    </row>
    <row r="290" spans="1:4" ht="20.100000000000001" customHeight="1" x14ac:dyDescent="0.2">
      <c r="A290" s="7" t="s">
        <v>1450</v>
      </c>
      <c r="B290" s="8" t="s">
        <v>1451</v>
      </c>
      <c r="C290" s="189">
        <v>3.4334903590764294</v>
      </c>
      <c r="D290" s="189">
        <v>8.7178590097365571</v>
      </c>
    </row>
    <row r="291" spans="1:4" ht="20.100000000000001" customHeight="1" x14ac:dyDescent="0.2">
      <c r="A291" s="7" t="s">
        <v>1452</v>
      </c>
      <c r="B291" s="8" t="s">
        <v>1451</v>
      </c>
      <c r="C291" s="189">
        <v>3.3679342561023393</v>
      </c>
      <c r="D291" s="189">
        <v>10.310804735284467</v>
      </c>
    </row>
    <row r="292" spans="1:4" ht="20.100000000000001" customHeight="1" x14ac:dyDescent="0.2">
      <c r="A292" s="7" t="s">
        <v>1453</v>
      </c>
      <c r="B292" s="8" t="s">
        <v>1454</v>
      </c>
      <c r="C292" s="189">
        <v>0</v>
      </c>
      <c r="D292" s="189">
        <v>0.52807836511668649</v>
      </c>
    </row>
    <row r="293" spans="1:4" ht="20.100000000000001" customHeight="1" x14ac:dyDescent="0.2">
      <c r="A293" s="7" t="s">
        <v>1455</v>
      </c>
      <c r="B293" s="8" t="s">
        <v>1454</v>
      </c>
      <c r="C293" s="189">
        <v>0</v>
      </c>
      <c r="D293" s="189">
        <v>0.43399411700834106</v>
      </c>
    </row>
    <row r="294" spans="1:4" ht="20.100000000000001" customHeight="1" x14ac:dyDescent="0.2">
      <c r="A294" s="7" t="s">
        <v>1456</v>
      </c>
      <c r="B294" s="8" t="s">
        <v>1457</v>
      </c>
      <c r="C294" s="189">
        <v>6.6036107216579971</v>
      </c>
      <c r="D294" s="189">
        <v>4.4015145761128895</v>
      </c>
    </row>
    <row r="295" spans="1:4" ht="20.100000000000001" customHeight="1" x14ac:dyDescent="0.2">
      <c r="A295" s="7" t="s">
        <v>1458</v>
      </c>
      <c r="B295" s="8" t="s">
        <v>1457</v>
      </c>
      <c r="C295" s="189">
        <v>6.5796585913009196</v>
      </c>
      <c r="D295" s="189">
        <v>4.403035757738829</v>
      </c>
    </row>
    <row r="296" spans="1:4" ht="20.100000000000001" customHeight="1" x14ac:dyDescent="0.2">
      <c r="A296" s="7" t="s">
        <v>1459</v>
      </c>
      <c r="B296" s="8" t="s">
        <v>1460</v>
      </c>
      <c r="C296" s="189">
        <v>4.1110987551935407</v>
      </c>
      <c r="D296" s="189">
        <v>13.301131514773754</v>
      </c>
    </row>
    <row r="297" spans="1:4" ht="20.100000000000001" customHeight="1" x14ac:dyDescent="0.2">
      <c r="A297" s="7" t="s">
        <v>1461</v>
      </c>
      <c r="B297" s="8" t="s">
        <v>1460</v>
      </c>
      <c r="C297" s="189">
        <v>5.3821881500456605</v>
      </c>
      <c r="D297" s="189">
        <v>16.766663975485468</v>
      </c>
    </row>
    <row r="298" spans="1:4" ht="20.100000000000001" customHeight="1" x14ac:dyDescent="0.2">
      <c r="A298" s="7" t="s">
        <v>1466</v>
      </c>
      <c r="B298" s="8" t="s">
        <v>1467</v>
      </c>
      <c r="C298" s="189">
        <v>0</v>
      </c>
      <c r="D298" s="189">
        <v>0.25455620822581315</v>
      </c>
    </row>
    <row r="299" spans="1:4" ht="20.100000000000001" customHeight="1" x14ac:dyDescent="0.2">
      <c r="A299" s="7" t="s">
        <v>1468</v>
      </c>
      <c r="B299" s="8" t="s">
        <v>1467</v>
      </c>
      <c r="C299" s="189">
        <v>0</v>
      </c>
      <c r="D299" s="189">
        <v>0.17003404323346705</v>
      </c>
    </row>
    <row r="300" spans="1:4" ht="20.100000000000001" customHeight="1" x14ac:dyDescent="0.2">
      <c r="A300" s="7" t="s">
        <v>1469</v>
      </c>
      <c r="B300" s="8" t="s">
        <v>1467</v>
      </c>
      <c r="C300" s="189">
        <v>0</v>
      </c>
      <c r="D300" s="189">
        <v>6.1190852076617813E-2</v>
      </c>
    </row>
    <row r="301" spans="1:4" ht="20.100000000000001" customHeight="1" x14ac:dyDescent="0.2">
      <c r="A301" s="7" t="s">
        <v>1470</v>
      </c>
      <c r="B301" s="8" t="s">
        <v>1467</v>
      </c>
      <c r="C301" s="189">
        <v>0</v>
      </c>
      <c r="D301" s="189">
        <v>1.6524549235185496E-2</v>
      </c>
    </row>
    <row r="302" spans="1:4" ht="20.100000000000001" customHeight="1" x14ac:dyDescent="0.2">
      <c r="A302" s="7" t="s">
        <v>1471</v>
      </c>
      <c r="B302" s="8" t="s">
        <v>1472</v>
      </c>
      <c r="C302" s="189">
        <v>0</v>
      </c>
      <c r="D302" s="189">
        <v>9.1290354561999812E-2</v>
      </c>
    </row>
    <row r="303" spans="1:4" ht="20.100000000000001" customHeight="1" x14ac:dyDescent="0.2">
      <c r="A303" s="7" t="s">
        <v>1473</v>
      </c>
      <c r="B303" s="8" t="s">
        <v>1472</v>
      </c>
      <c r="C303" s="189">
        <v>0</v>
      </c>
      <c r="D303" s="189">
        <v>5.5505568161732466E-2</v>
      </c>
    </row>
    <row r="304" spans="1:4" ht="20.100000000000001" customHeight="1" x14ac:dyDescent="0.2">
      <c r="A304" s="7" t="s">
        <v>1474</v>
      </c>
      <c r="B304" s="8" t="s">
        <v>1472</v>
      </c>
      <c r="C304" s="189">
        <v>0.11013922216372493</v>
      </c>
      <c r="D304" s="189">
        <v>0.94282048525769091</v>
      </c>
    </row>
    <row r="305" spans="1:4" ht="20.100000000000001" customHeight="1" x14ac:dyDescent="0.2">
      <c r="A305" s="7" t="s">
        <v>1475</v>
      </c>
      <c r="B305" s="8" t="s">
        <v>1472</v>
      </c>
      <c r="C305" s="189">
        <v>8.697951080891779E-2</v>
      </c>
      <c r="D305" s="189">
        <v>0.94229719431300929</v>
      </c>
    </row>
    <row r="306" spans="1:4" ht="20.100000000000001" customHeight="1" x14ac:dyDescent="0.2">
      <c r="A306" s="7" t="s">
        <v>1495</v>
      </c>
      <c r="B306" s="8" t="s">
        <v>1496</v>
      </c>
      <c r="C306" s="189">
        <v>3.2087447740386703</v>
      </c>
      <c r="D306" s="189">
        <v>4.6226656164391349</v>
      </c>
    </row>
    <row r="307" spans="1:4" ht="20.100000000000001" customHeight="1" x14ac:dyDescent="0.2">
      <c r="A307" s="7" t="s">
        <v>1497</v>
      </c>
      <c r="B307" s="8" t="s">
        <v>1496</v>
      </c>
      <c r="C307" s="189">
        <v>3.6661195448395074</v>
      </c>
      <c r="D307" s="189">
        <v>4.304091163093994</v>
      </c>
    </row>
    <row r="308" spans="1:4" ht="20.100000000000001" customHeight="1" x14ac:dyDescent="0.2">
      <c r="A308" s="7" t="s">
        <v>1479</v>
      </c>
      <c r="B308" s="8" t="s">
        <v>1480</v>
      </c>
      <c r="C308" s="189">
        <v>2.3009054359179948</v>
      </c>
      <c r="D308" s="189">
        <v>35.855236168214851</v>
      </c>
    </row>
    <row r="309" spans="1:4" ht="20.100000000000001" customHeight="1" x14ac:dyDescent="0.2">
      <c r="A309" s="7" t="s">
        <v>1481</v>
      </c>
      <c r="B309" s="8" t="s">
        <v>1480</v>
      </c>
      <c r="C309" s="189">
        <v>1.4134945096121929</v>
      </c>
      <c r="D309" s="189">
        <v>7.5239249296718063</v>
      </c>
    </row>
    <row r="310" spans="1:4" ht="20.100000000000001" customHeight="1" x14ac:dyDescent="0.2">
      <c r="A310" s="7" t="s">
        <v>1486</v>
      </c>
      <c r="B310" s="8" t="s">
        <v>1487</v>
      </c>
      <c r="C310" s="189">
        <v>2.3648328790213284</v>
      </c>
      <c r="D310" s="189">
        <v>5.1749698335568599</v>
      </c>
    </row>
    <row r="311" spans="1:4" ht="20.100000000000001" customHeight="1" x14ac:dyDescent="0.2">
      <c r="A311" s="7" t="s">
        <v>1488</v>
      </c>
      <c r="B311" s="8" t="s">
        <v>1487</v>
      </c>
      <c r="C311" s="189">
        <v>3.6184022031368337</v>
      </c>
      <c r="D311" s="189">
        <v>6.3544134906218401</v>
      </c>
    </row>
    <row r="312" spans="1:4" ht="20.100000000000001" customHeight="1" x14ac:dyDescent="0.2">
      <c r="A312" s="7" t="s">
        <v>1464</v>
      </c>
      <c r="B312" s="8" t="s">
        <v>1465</v>
      </c>
      <c r="C312" s="189">
        <v>2.7349611042788179E-2</v>
      </c>
      <c r="D312" s="189">
        <v>-6.1629818011088458E-4</v>
      </c>
    </row>
    <row r="313" spans="1:4" ht="20.100000000000001" customHeight="1" x14ac:dyDescent="0.2">
      <c r="A313" s="7" t="s">
        <v>1462</v>
      </c>
      <c r="B313" s="8" t="s">
        <v>1463</v>
      </c>
      <c r="C313" s="189">
        <v>1.7612815606476264</v>
      </c>
      <c r="D313" s="189">
        <v>8.1442195568054618</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5"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3" customWidth="1"/>
    <col min="2" max="2" width="37.42578125" style="153" bestFit="1" customWidth="1"/>
    <col min="3" max="3" width="19" style="154" customWidth="1"/>
    <col min="4" max="4" width="5.28515625" style="153" bestFit="1" customWidth="1"/>
    <col min="5" max="5" width="4.7109375" style="153" customWidth="1"/>
    <col min="6" max="6" width="29.140625" style="153" bestFit="1" customWidth="1"/>
    <col min="7" max="7" width="11.5703125" style="153"/>
    <col min="8" max="8" width="64.5703125" style="153" bestFit="1" customWidth="1"/>
    <col min="9" max="16384" width="11.5703125" style="153"/>
  </cols>
  <sheetData>
    <row r="1" spans="1:8" ht="26.25" customHeight="1" x14ac:dyDescent="0.35">
      <c r="A1" s="156" t="s">
        <v>16</v>
      </c>
      <c r="H1" s="155"/>
    </row>
    <row r="2" spans="1:8" ht="12.75" customHeight="1" x14ac:dyDescent="0.2">
      <c r="A2" s="156"/>
    </row>
    <row r="3" spans="1:8" ht="12.75" customHeight="1" x14ac:dyDescent="0.2">
      <c r="A3" s="156"/>
    </row>
    <row r="4" spans="1:8" ht="12.75" customHeight="1" x14ac:dyDescent="0.2">
      <c r="A4" s="156"/>
    </row>
    <row r="5" spans="1:8" ht="12.75" customHeight="1" x14ac:dyDescent="0.2">
      <c r="A5" s="156"/>
    </row>
    <row r="6" spans="1:8" ht="12.75" customHeight="1" x14ac:dyDescent="0.2">
      <c r="A6" s="156"/>
    </row>
    <row r="7" spans="1:8" ht="12.75" customHeight="1" x14ac:dyDescent="0.2">
      <c r="A7" s="156"/>
    </row>
    <row r="8" spans="1:8" ht="12.75" customHeight="1" x14ac:dyDescent="0.2">
      <c r="A8" s="156"/>
    </row>
    <row r="9" spans="1:8" ht="12.75" customHeight="1" x14ac:dyDescent="0.2">
      <c r="A9" s="156"/>
    </row>
    <row r="10" spans="1:8" ht="12.75" customHeight="1" x14ac:dyDescent="0.2">
      <c r="A10" s="156"/>
    </row>
    <row r="11" spans="1:8" ht="12.75" customHeight="1" x14ac:dyDescent="0.2">
      <c r="A11" s="156"/>
    </row>
    <row r="12" spans="1:8" ht="12.75" customHeight="1" x14ac:dyDescent="0.2">
      <c r="A12" s="156"/>
    </row>
    <row r="13" spans="1:8" ht="12.75" customHeight="1" x14ac:dyDescent="0.2">
      <c r="A13" s="156"/>
    </row>
    <row r="14" spans="1:8" ht="12.75" customHeight="1" x14ac:dyDescent="0.2">
      <c r="A14" s="156"/>
    </row>
    <row r="15" spans="1:8" ht="12.75" customHeight="1" x14ac:dyDescent="0.2">
      <c r="A15" s="156"/>
    </row>
    <row r="16" spans="1:8" ht="12.75" customHeight="1" x14ac:dyDescent="0.2">
      <c r="A16" s="156"/>
    </row>
    <row r="17" spans="1:8" ht="12.75" customHeight="1" x14ac:dyDescent="0.2">
      <c r="A17" s="156"/>
    </row>
    <row r="18" spans="1:8" ht="12.75" customHeight="1" x14ac:dyDescent="0.2">
      <c r="A18" s="156"/>
    </row>
    <row r="19" spans="1:8" ht="12.75" customHeight="1" x14ac:dyDescent="0.2">
      <c r="A19" s="156"/>
    </row>
    <row r="20" spans="1:8" ht="12.75" customHeight="1" x14ac:dyDescent="0.2">
      <c r="A20" s="156"/>
    </row>
    <row r="21" spans="1:8" ht="12.75" customHeight="1" x14ac:dyDescent="0.2">
      <c r="A21" s="156"/>
    </row>
    <row r="22" spans="1:8" ht="12.75" customHeight="1" x14ac:dyDescent="0.2">
      <c r="A22" s="156"/>
    </row>
    <row r="23" spans="1:8" ht="12.75" customHeight="1" x14ac:dyDescent="0.2">
      <c r="A23" s="156"/>
    </row>
    <row r="24" spans="1:8" ht="12.75" customHeight="1" x14ac:dyDescent="0.2">
      <c r="A24" s="156"/>
    </row>
    <row r="25" spans="1:8" ht="12.75" customHeight="1" x14ac:dyDescent="0.2">
      <c r="A25" s="156"/>
    </row>
    <row r="26" spans="1:8" ht="12.75" customHeight="1" x14ac:dyDescent="0.2">
      <c r="A26" s="156"/>
    </row>
    <row r="27" spans="1:8" ht="12.75" customHeight="1" x14ac:dyDescent="0.2">
      <c r="A27" s="156"/>
    </row>
    <row r="28" spans="1:8" s="158" customFormat="1" ht="51" x14ac:dyDescent="0.2">
      <c r="A28" s="56" t="s">
        <v>157</v>
      </c>
      <c r="B28" s="56" t="s">
        <v>158</v>
      </c>
      <c r="C28" s="56" t="s">
        <v>385</v>
      </c>
      <c r="D28" s="157"/>
      <c r="E28" s="157"/>
      <c r="F28" s="56" t="s">
        <v>386</v>
      </c>
      <c r="G28" s="56" t="s">
        <v>387</v>
      </c>
      <c r="H28" s="56" t="s">
        <v>388</v>
      </c>
    </row>
    <row r="29" spans="1:8" x14ac:dyDescent="0.2">
      <c r="A29" s="163">
        <v>3</v>
      </c>
      <c r="B29" s="159" t="s">
        <v>159</v>
      </c>
      <c r="C29" s="162" t="s">
        <v>394</v>
      </c>
      <c r="F29" s="153" t="s">
        <v>391</v>
      </c>
      <c r="G29" s="160">
        <v>43626</v>
      </c>
      <c r="H29" s="153" t="s">
        <v>392</v>
      </c>
    </row>
    <row r="30" spans="1:8" x14ac:dyDescent="0.2">
      <c r="A30" s="163">
        <v>4</v>
      </c>
      <c r="B30" s="159" t="s">
        <v>159</v>
      </c>
      <c r="C30" s="162" t="s">
        <v>394</v>
      </c>
      <c r="F30" s="153" t="s">
        <v>396</v>
      </c>
      <c r="G30" s="160">
        <v>43626</v>
      </c>
      <c r="H30" s="153" t="s">
        <v>392</v>
      </c>
    </row>
    <row r="31" spans="1:8" x14ac:dyDescent="0.2">
      <c r="A31" s="163">
        <v>5</v>
      </c>
      <c r="B31" s="159" t="s">
        <v>160</v>
      </c>
      <c r="C31" s="162" t="s">
        <v>394</v>
      </c>
      <c r="F31" s="153" t="s">
        <v>395</v>
      </c>
      <c r="G31" s="160">
        <v>43626</v>
      </c>
      <c r="H31" s="153" t="s">
        <v>392</v>
      </c>
    </row>
    <row r="32" spans="1:8" x14ac:dyDescent="0.2">
      <c r="A32" s="163">
        <v>6</v>
      </c>
      <c r="B32" s="159" t="s">
        <v>161</v>
      </c>
      <c r="C32" s="162" t="s">
        <v>394</v>
      </c>
      <c r="F32" s="153" t="s">
        <v>397</v>
      </c>
      <c r="G32" s="160">
        <v>43626</v>
      </c>
      <c r="H32" s="153" t="s">
        <v>398</v>
      </c>
    </row>
    <row r="33" spans="1:8" x14ac:dyDescent="0.2">
      <c r="A33" s="163">
        <v>7</v>
      </c>
      <c r="B33" s="159" t="s">
        <v>161</v>
      </c>
      <c r="C33" s="162" t="s">
        <v>394</v>
      </c>
      <c r="G33" s="160"/>
      <c r="H33" s="161"/>
    </row>
    <row r="34" spans="1:8" x14ac:dyDescent="0.2">
      <c r="A34" s="163">
        <v>8</v>
      </c>
      <c r="B34" s="159" t="s">
        <v>161</v>
      </c>
      <c r="C34" s="162" t="s">
        <v>394</v>
      </c>
      <c r="F34" s="161"/>
      <c r="G34" s="160"/>
    </row>
    <row r="35" spans="1:8" x14ac:dyDescent="0.2">
      <c r="A35" s="163">
        <v>9</v>
      </c>
      <c r="B35" s="159" t="s">
        <v>161</v>
      </c>
      <c r="C35" s="162" t="s">
        <v>394</v>
      </c>
      <c r="G35" s="160"/>
      <c r="H35" s="161"/>
    </row>
    <row r="36" spans="1:8" x14ac:dyDescent="0.2">
      <c r="A36" s="163">
        <v>10</v>
      </c>
      <c r="B36" s="159" t="s">
        <v>161</v>
      </c>
      <c r="C36" s="162" t="s">
        <v>394</v>
      </c>
      <c r="G36" s="160"/>
      <c r="H36" s="161"/>
    </row>
    <row r="37" spans="1:8" x14ac:dyDescent="0.2">
      <c r="A37" s="163">
        <v>11</v>
      </c>
      <c r="B37" s="159" t="s">
        <v>161</v>
      </c>
      <c r="C37" s="162" t="s">
        <v>394</v>
      </c>
      <c r="G37" s="160"/>
    </row>
    <row r="38" spans="1:8" x14ac:dyDescent="0.2">
      <c r="A38" s="163">
        <v>12</v>
      </c>
      <c r="B38" s="159" t="s">
        <v>161</v>
      </c>
      <c r="C38" s="162" t="s">
        <v>394</v>
      </c>
      <c r="G38" s="160"/>
    </row>
    <row r="39" spans="1:8" x14ac:dyDescent="0.2">
      <c r="A39" s="163">
        <v>13</v>
      </c>
      <c r="B39" s="159" t="s">
        <v>162</v>
      </c>
      <c r="C39" s="162" t="s">
        <v>394</v>
      </c>
      <c r="G39" s="160"/>
    </row>
    <row r="40" spans="1:8" x14ac:dyDescent="0.2">
      <c r="A40" s="163">
        <v>15</v>
      </c>
      <c r="B40" s="159" t="s">
        <v>162</v>
      </c>
      <c r="C40" s="162" t="s">
        <v>394</v>
      </c>
      <c r="F40" s="161"/>
      <c r="G40" s="160"/>
      <c r="H40" s="161"/>
    </row>
    <row r="41" spans="1:8" x14ac:dyDescent="0.2">
      <c r="A41" s="163">
        <v>16</v>
      </c>
      <c r="B41" s="159" t="s">
        <v>163</v>
      </c>
      <c r="C41" s="162" t="s">
        <v>394</v>
      </c>
      <c r="G41" s="160"/>
      <c r="H41" s="161"/>
    </row>
    <row r="42" spans="1:8" x14ac:dyDescent="0.2">
      <c r="A42" s="163">
        <v>17</v>
      </c>
      <c r="B42" s="159" t="s">
        <v>163</v>
      </c>
      <c r="C42" s="162" t="s">
        <v>394</v>
      </c>
      <c r="G42" s="160"/>
    </row>
    <row r="43" spans="1:8" x14ac:dyDescent="0.2">
      <c r="A43" s="163">
        <v>18</v>
      </c>
      <c r="B43" s="159" t="s">
        <v>163</v>
      </c>
      <c r="C43" s="162" t="s">
        <v>394</v>
      </c>
      <c r="G43" s="160"/>
    </row>
    <row r="44" spans="1:8" x14ac:dyDescent="0.2">
      <c r="A44" s="163">
        <v>19</v>
      </c>
      <c r="B44" s="159" t="s">
        <v>163</v>
      </c>
      <c r="C44" s="162" t="s">
        <v>394</v>
      </c>
      <c r="G44" s="160"/>
    </row>
    <row r="45" spans="1:8" x14ac:dyDescent="0.2">
      <c r="A45" s="163">
        <v>20</v>
      </c>
      <c r="B45" s="159" t="s">
        <v>163</v>
      </c>
      <c r="C45" s="162" t="s">
        <v>394</v>
      </c>
      <c r="G45" s="160"/>
    </row>
    <row r="46" spans="1:8" x14ac:dyDescent="0.2">
      <c r="A46" s="163">
        <v>21</v>
      </c>
      <c r="B46" s="159" t="s">
        <v>163</v>
      </c>
      <c r="C46" s="162" t="s">
        <v>394</v>
      </c>
      <c r="G46" s="160"/>
    </row>
    <row r="47" spans="1:8" x14ac:dyDescent="0.2">
      <c r="A47" s="163">
        <v>22</v>
      </c>
      <c r="B47" s="159" t="s">
        <v>163</v>
      </c>
      <c r="C47" s="162" t="s">
        <v>394</v>
      </c>
      <c r="G47" s="160"/>
    </row>
    <row r="48" spans="1:8" x14ac:dyDescent="0.2">
      <c r="A48" s="163">
        <v>23</v>
      </c>
      <c r="B48" s="159" t="s">
        <v>164</v>
      </c>
      <c r="C48" s="162" t="s">
        <v>394</v>
      </c>
      <c r="G48" s="160"/>
    </row>
    <row r="49" spans="1:8" x14ac:dyDescent="0.2">
      <c r="A49" s="163">
        <v>24</v>
      </c>
      <c r="B49" s="159" t="s">
        <v>164</v>
      </c>
      <c r="C49" s="162" t="s">
        <v>394</v>
      </c>
      <c r="G49" s="160"/>
    </row>
    <row r="50" spans="1:8" x14ac:dyDescent="0.2">
      <c r="A50" s="163">
        <v>25</v>
      </c>
      <c r="B50" s="159" t="s">
        <v>164</v>
      </c>
      <c r="C50" s="162" t="s">
        <v>394</v>
      </c>
      <c r="G50" s="160"/>
    </row>
    <row r="51" spans="1:8" x14ac:dyDescent="0.2">
      <c r="A51" s="163">
        <v>26</v>
      </c>
      <c r="B51" s="159" t="s">
        <v>164</v>
      </c>
      <c r="C51" s="162" t="s">
        <v>394</v>
      </c>
      <c r="G51" s="160"/>
    </row>
    <row r="52" spans="1:8" x14ac:dyDescent="0.2">
      <c r="A52" s="163">
        <v>28</v>
      </c>
      <c r="B52" s="159" t="s">
        <v>164</v>
      </c>
      <c r="C52" s="162" t="s">
        <v>394</v>
      </c>
      <c r="G52" s="160"/>
    </row>
    <row r="53" spans="1:8" x14ac:dyDescent="0.2">
      <c r="A53" s="163">
        <v>29</v>
      </c>
      <c r="B53" s="159" t="s">
        <v>164</v>
      </c>
      <c r="C53" s="162" t="s">
        <v>394</v>
      </c>
      <c r="G53" s="160"/>
    </row>
    <row r="54" spans="1:8" x14ac:dyDescent="0.2">
      <c r="A54" s="163">
        <v>30</v>
      </c>
      <c r="B54" s="159" t="s">
        <v>164</v>
      </c>
      <c r="C54" s="162" t="s">
        <v>394</v>
      </c>
      <c r="G54" s="160"/>
    </row>
    <row r="55" spans="1:8" x14ac:dyDescent="0.2">
      <c r="A55" s="163">
        <v>31</v>
      </c>
      <c r="B55" s="159" t="s">
        <v>164</v>
      </c>
      <c r="C55" s="162" t="s">
        <v>394</v>
      </c>
      <c r="G55" s="160"/>
    </row>
    <row r="56" spans="1:8" x14ac:dyDescent="0.2">
      <c r="A56" s="163">
        <v>32</v>
      </c>
      <c r="B56" s="159" t="s">
        <v>164</v>
      </c>
      <c r="C56" s="162" t="s">
        <v>394</v>
      </c>
      <c r="F56" s="161"/>
      <c r="G56" s="160"/>
      <c r="H56" s="161"/>
    </row>
    <row r="57" spans="1:8" x14ac:dyDescent="0.2">
      <c r="A57" s="163">
        <v>33</v>
      </c>
      <c r="B57" s="159" t="s">
        <v>164</v>
      </c>
      <c r="C57" s="162" t="s">
        <v>394</v>
      </c>
      <c r="F57" s="161"/>
      <c r="G57" s="160"/>
      <c r="H57" s="161"/>
    </row>
    <row r="58" spans="1:8" x14ac:dyDescent="0.2">
      <c r="A58" s="163">
        <v>34</v>
      </c>
      <c r="B58" s="159" t="s">
        <v>164</v>
      </c>
      <c r="C58" s="162" t="s">
        <v>394</v>
      </c>
      <c r="F58" s="161"/>
      <c r="G58" s="160"/>
      <c r="H58" s="161"/>
    </row>
    <row r="59" spans="1:8" x14ac:dyDescent="0.2">
      <c r="A59" s="163">
        <v>35</v>
      </c>
      <c r="B59" s="159" t="s">
        <v>164</v>
      </c>
      <c r="C59" s="162" t="s">
        <v>394</v>
      </c>
      <c r="F59" s="161"/>
      <c r="G59" s="160"/>
      <c r="H59" s="161"/>
    </row>
    <row r="60" spans="1:8" x14ac:dyDescent="0.2">
      <c r="A60" s="163">
        <v>36</v>
      </c>
      <c r="B60" s="159" t="s">
        <v>164</v>
      </c>
      <c r="C60" s="162" t="s">
        <v>394</v>
      </c>
      <c r="F60" s="161"/>
      <c r="G60" s="160"/>
      <c r="H60" s="161"/>
    </row>
    <row r="61" spans="1:8" x14ac:dyDescent="0.2">
      <c r="A61" s="163">
        <v>37</v>
      </c>
      <c r="B61" s="159" t="s">
        <v>164</v>
      </c>
      <c r="C61" s="162" t="s">
        <v>394</v>
      </c>
      <c r="F61" s="161"/>
      <c r="G61" s="160"/>
      <c r="H61" s="161"/>
    </row>
    <row r="62" spans="1:8" x14ac:dyDescent="0.2">
      <c r="A62" s="163">
        <v>38</v>
      </c>
      <c r="B62" s="159" t="s">
        <v>164</v>
      </c>
      <c r="C62" s="162" t="s">
        <v>394</v>
      </c>
      <c r="F62" s="161"/>
      <c r="G62" s="160"/>
      <c r="H62" s="161"/>
    </row>
    <row r="63" spans="1:8" x14ac:dyDescent="0.2">
      <c r="A63" s="163">
        <v>39</v>
      </c>
      <c r="B63" s="159" t="s">
        <v>164</v>
      </c>
      <c r="C63" s="162" t="s">
        <v>394</v>
      </c>
      <c r="F63" s="161"/>
      <c r="G63" s="160"/>
      <c r="H63" s="161"/>
    </row>
    <row r="64" spans="1:8" x14ac:dyDescent="0.2">
      <c r="A64" s="163">
        <v>40</v>
      </c>
      <c r="B64" s="159" t="s">
        <v>163</v>
      </c>
      <c r="C64" s="162" t="s">
        <v>394</v>
      </c>
      <c r="F64" s="161"/>
      <c r="G64" s="160"/>
      <c r="H64" s="161"/>
    </row>
    <row r="65" spans="1:8" x14ac:dyDescent="0.2">
      <c r="A65" s="163">
        <v>41</v>
      </c>
      <c r="B65" s="159" t="s">
        <v>165</v>
      </c>
      <c r="C65" s="162" t="s">
        <v>394</v>
      </c>
      <c r="F65" s="161"/>
      <c r="G65" s="160"/>
      <c r="H65" s="161"/>
    </row>
    <row r="66" spans="1:8" x14ac:dyDescent="0.2">
      <c r="A66" s="163">
        <v>42</v>
      </c>
      <c r="B66" s="159" t="s">
        <v>166</v>
      </c>
      <c r="C66" s="162" t="s">
        <v>394</v>
      </c>
      <c r="F66" s="161"/>
      <c r="G66" s="160"/>
      <c r="H66" s="161"/>
    </row>
    <row r="67" spans="1:8" x14ac:dyDescent="0.2">
      <c r="A67" s="163">
        <v>43</v>
      </c>
      <c r="B67" s="159" t="s">
        <v>166</v>
      </c>
      <c r="C67" s="162" t="s">
        <v>394</v>
      </c>
      <c r="F67" s="161"/>
      <c r="G67" s="160"/>
      <c r="H67" s="161"/>
    </row>
    <row r="68" spans="1:8" x14ac:dyDescent="0.2">
      <c r="A68" s="163">
        <v>44</v>
      </c>
      <c r="B68" s="159" t="s">
        <v>165</v>
      </c>
      <c r="C68" s="162" t="s">
        <v>394</v>
      </c>
      <c r="F68" s="161"/>
      <c r="G68" s="160"/>
      <c r="H68" s="161"/>
    </row>
    <row r="69" spans="1:8" x14ac:dyDescent="0.2">
      <c r="A69" s="163">
        <v>45</v>
      </c>
      <c r="B69" s="159" t="s">
        <v>167</v>
      </c>
      <c r="C69" s="162" t="s">
        <v>394</v>
      </c>
      <c r="F69" s="161"/>
      <c r="G69" s="160"/>
      <c r="H69" s="161"/>
    </row>
    <row r="70" spans="1:8" x14ac:dyDescent="0.2">
      <c r="A70" s="163">
        <v>46</v>
      </c>
      <c r="B70" s="159" t="s">
        <v>168</v>
      </c>
      <c r="C70" s="162" t="s">
        <v>394</v>
      </c>
      <c r="F70" s="161"/>
      <c r="G70" s="160"/>
      <c r="H70" s="161"/>
    </row>
    <row r="71" spans="1:8" x14ac:dyDescent="0.2">
      <c r="A71" s="163">
        <v>47</v>
      </c>
      <c r="B71" s="159" t="s">
        <v>169</v>
      </c>
      <c r="C71" s="162" t="s">
        <v>394</v>
      </c>
      <c r="F71" s="161"/>
      <c r="G71" s="160"/>
      <c r="H71" s="161"/>
    </row>
    <row r="72" spans="1:8" x14ac:dyDescent="0.2">
      <c r="A72" s="163">
        <v>48</v>
      </c>
      <c r="B72" s="159" t="s">
        <v>170</v>
      </c>
      <c r="C72" s="162" t="s">
        <v>394</v>
      </c>
      <c r="F72" s="161"/>
      <c r="G72" s="160"/>
      <c r="H72" s="161"/>
    </row>
    <row r="73" spans="1:8" x14ac:dyDescent="0.2">
      <c r="A73" s="163">
        <v>49</v>
      </c>
      <c r="B73" s="159" t="s">
        <v>163</v>
      </c>
      <c r="C73" s="162" t="s">
        <v>394</v>
      </c>
      <c r="F73" s="161"/>
      <c r="G73" s="160"/>
      <c r="H73" s="161"/>
    </row>
    <row r="74" spans="1:8" x14ac:dyDescent="0.2">
      <c r="A74" s="163">
        <v>50</v>
      </c>
      <c r="B74" s="159" t="s">
        <v>171</v>
      </c>
      <c r="C74" s="162" t="s">
        <v>394</v>
      </c>
      <c r="F74" s="161"/>
      <c r="G74" s="160"/>
      <c r="H74" s="161"/>
    </row>
    <row r="75" spans="1:8" x14ac:dyDescent="0.2">
      <c r="A75" s="163">
        <v>51</v>
      </c>
      <c r="B75" s="159" t="s">
        <v>172</v>
      </c>
      <c r="C75" s="162" t="s">
        <v>393</v>
      </c>
      <c r="F75" s="161"/>
      <c r="G75" s="160"/>
      <c r="H75" s="161"/>
    </row>
    <row r="76" spans="1:8" x14ac:dyDescent="0.2">
      <c r="A76" s="163">
        <v>52</v>
      </c>
      <c r="B76" s="159" t="s">
        <v>173</v>
      </c>
      <c r="C76" s="162" t="s">
        <v>394</v>
      </c>
      <c r="F76" s="161"/>
      <c r="G76" s="160"/>
      <c r="H76" s="161"/>
    </row>
    <row r="77" spans="1:8" x14ac:dyDescent="0.2">
      <c r="A77" s="163">
        <v>53</v>
      </c>
      <c r="B77" s="159" t="s">
        <v>173</v>
      </c>
      <c r="C77" s="162" t="s">
        <v>394</v>
      </c>
      <c r="F77" s="161"/>
      <c r="G77" s="160"/>
      <c r="H77" s="161"/>
    </row>
    <row r="78" spans="1:8" x14ac:dyDescent="0.2">
      <c r="A78" s="163">
        <v>55</v>
      </c>
      <c r="B78" s="159" t="s">
        <v>173</v>
      </c>
      <c r="C78" s="162" t="s">
        <v>394</v>
      </c>
      <c r="F78" s="161"/>
      <c r="G78" s="160"/>
      <c r="H78" s="161"/>
    </row>
    <row r="79" spans="1:8" x14ac:dyDescent="0.2">
      <c r="A79" s="163">
        <v>56</v>
      </c>
      <c r="B79" s="159" t="s">
        <v>173</v>
      </c>
      <c r="C79" s="162" t="s">
        <v>394</v>
      </c>
      <c r="F79" s="161"/>
      <c r="G79" s="160"/>
      <c r="H79" s="161"/>
    </row>
    <row r="80" spans="1:8" x14ac:dyDescent="0.2">
      <c r="A80" s="163">
        <v>57</v>
      </c>
      <c r="B80" s="159" t="s">
        <v>173</v>
      </c>
      <c r="C80" s="162" t="s">
        <v>394</v>
      </c>
      <c r="F80" s="161"/>
      <c r="G80" s="160"/>
      <c r="H80" s="161"/>
    </row>
    <row r="81" spans="1:8" x14ac:dyDescent="0.2">
      <c r="A81" s="163">
        <v>58</v>
      </c>
      <c r="B81" s="159" t="s">
        <v>174</v>
      </c>
      <c r="C81" s="162" t="s">
        <v>393</v>
      </c>
      <c r="F81" s="161"/>
      <c r="G81" s="160"/>
      <c r="H81" s="161"/>
    </row>
    <row r="82" spans="1:8" x14ac:dyDescent="0.2">
      <c r="A82" s="163">
        <v>59</v>
      </c>
      <c r="B82" s="159" t="s">
        <v>173</v>
      </c>
      <c r="C82" s="162" t="s">
        <v>394</v>
      </c>
      <c r="F82" s="161"/>
      <c r="G82" s="160"/>
      <c r="H82" s="161"/>
    </row>
    <row r="83" spans="1:8" x14ac:dyDescent="0.2">
      <c r="A83" s="163">
        <v>60</v>
      </c>
      <c r="B83" s="159" t="s">
        <v>173</v>
      </c>
      <c r="C83" s="162" t="s">
        <v>394</v>
      </c>
      <c r="F83" s="161"/>
      <c r="G83" s="160"/>
      <c r="H83" s="161"/>
    </row>
    <row r="84" spans="1:8" x14ac:dyDescent="0.2">
      <c r="A84" s="163">
        <v>62</v>
      </c>
      <c r="B84" s="159" t="s">
        <v>175</v>
      </c>
      <c r="C84" s="162" t="s">
        <v>393</v>
      </c>
    </row>
    <row r="85" spans="1:8" x14ac:dyDescent="0.2">
      <c r="A85" s="163">
        <v>63</v>
      </c>
      <c r="B85" s="159" t="s">
        <v>166</v>
      </c>
      <c r="C85" s="162" t="s">
        <v>394</v>
      </c>
    </row>
    <row r="86" spans="1:8" x14ac:dyDescent="0.2">
      <c r="A86" s="163">
        <v>64</v>
      </c>
      <c r="B86" s="159" t="s">
        <v>173</v>
      </c>
      <c r="C86" s="162" t="s">
        <v>394</v>
      </c>
    </row>
    <row r="87" spans="1:8" x14ac:dyDescent="0.2">
      <c r="A87" s="163">
        <v>65</v>
      </c>
      <c r="B87" s="159" t="s">
        <v>176</v>
      </c>
      <c r="C87" s="162" t="s">
        <v>394</v>
      </c>
    </row>
    <row r="88" spans="1:8" x14ac:dyDescent="0.2">
      <c r="A88" s="163">
        <v>66</v>
      </c>
      <c r="B88" s="159" t="s">
        <v>176</v>
      </c>
      <c r="C88" s="162" t="s">
        <v>394</v>
      </c>
    </row>
    <row r="89" spans="1:8" x14ac:dyDescent="0.2">
      <c r="A89" s="163">
        <v>67</v>
      </c>
      <c r="B89" s="159" t="s">
        <v>177</v>
      </c>
      <c r="C89" s="162" t="s">
        <v>394</v>
      </c>
    </row>
    <row r="90" spans="1:8" x14ac:dyDescent="0.2">
      <c r="A90" s="163">
        <v>71</v>
      </c>
      <c r="B90" s="159" t="s">
        <v>177</v>
      </c>
      <c r="C90" s="162" t="s">
        <v>394</v>
      </c>
    </row>
    <row r="91" spans="1:8" x14ac:dyDescent="0.2">
      <c r="A91" s="163">
        <v>72</v>
      </c>
      <c r="B91" s="159" t="s">
        <v>177</v>
      </c>
      <c r="C91" s="162" t="s">
        <v>394</v>
      </c>
    </row>
    <row r="92" spans="1:8" x14ac:dyDescent="0.2">
      <c r="A92" s="163">
        <v>73</v>
      </c>
      <c r="B92" s="159" t="s">
        <v>177</v>
      </c>
      <c r="C92" s="162" t="s">
        <v>394</v>
      </c>
    </row>
    <row r="93" spans="1:8" x14ac:dyDescent="0.2">
      <c r="A93" s="163">
        <v>74</v>
      </c>
      <c r="B93" s="159" t="s">
        <v>178</v>
      </c>
      <c r="C93" s="162" t="s">
        <v>394</v>
      </c>
    </row>
    <row r="94" spans="1:8" x14ac:dyDescent="0.2">
      <c r="A94" s="163">
        <v>75</v>
      </c>
      <c r="B94" s="159" t="s">
        <v>179</v>
      </c>
      <c r="C94" s="162" t="s">
        <v>394</v>
      </c>
    </row>
    <row r="95" spans="1:8" x14ac:dyDescent="0.2">
      <c r="A95" s="163">
        <v>76</v>
      </c>
      <c r="B95" s="159" t="s">
        <v>179</v>
      </c>
      <c r="C95" s="162" t="s">
        <v>394</v>
      </c>
    </row>
    <row r="96" spans="1:8" x14ac:dyDescent="0.2">
      <c r="A96" s="163">
        <v>77</v>
      </c>
      <c r="B96" s="159" t="s">
        <v>179</v>
      </c>
      <c r="C96" s="162" t="s">
        <v>394</v>
      </c>
    </row>
    <row r="97" spans="1:3" x14ac:dyDescent="0.2">
      <c r="A97" s="163">
        <v>78</v>
      </c>
      <c r="B97" s="159" t="s">
        <v>180</v>
      </c>
      <c r="C97" s="162" t="s">
        <v>394</v>
      </c>
    </row>
    <row r="98" spans="1:3" x14ac:dyDescent="0.2">
      <c r="A98" s="163">
        <v>79</v>
      </c>
      <c r="B98" s="159" t="s">
        <v>181</v>
      </c>
      <c r="C98" s="162" t="s">
        <v>393</v>
      </c>
    </row>
    <row r="99" spans="1:3" x14ac:dyDescent="0.2">
      <c r="A99" s="163">
        <v>80</v>
      </c>
      <c r="B99" s="159" t="s">
        <v>182</v>
      </c>
      <c r="C99" s="162" t="s">
        <v>394</v>
      </c>
    </row>
    <row r="100" spans="1:3" x14ac:dyDescent="0.2">
      <c r="A100" s="163">
        <v>81</v>
      </c>
      <c r="B100" s="159" t="s">
        <v>183</v>
      </c>
      <c r="C100" s="162" t="s">
        <v>394</v>
      </c>
    </row>
    <row r="101" spans="1:3" x14ac:dyDescent="0.2">
      <c r="A101" s="163">
        <v>82</v>
      </c>
      <c r="B101" s="159" t="s">
        <v>184</v>
      </c>
      <c r="C101" s="162" t="s">
        <v>394</v>
      </c>
    </row>
    <row r="102" spans="1:3" x14ac:dyDescent="0.2">
      <c r="A102" s="163">
        <v>83</v>
      </c>
      <c r="B102" s="159" t="s">
        <v>184</v>
      </c>
      <c r="C102" s="162" t="s">
        <v>394</v>
      </c>
    </row>
    <row r="103" spans="1:3" x14ac:dyDescent="0.2">
      <c r="A103" s="163">
        <v>84</v>
      </c>
      <c r="B103" s="159" t="s">
        <v>184</v>
      </c>
      <c r="C103" s="162" t="s">
        <v>394</v>
      </c>
    </row>
    <row r="104" spans="1:3" x14ac:dyDescent="0.2">
      <c r="A104" s="163">
        <v>85</v>
      </c>
      <c r="B104" s="159" t="s">
        <v>184</v>
      </c>
      <c r="C104" s="162" t="s">
        <v>394</v>
      </c>
    </row>
    <row r="105" spans="1:3" x14ac:dyDescent="0.2">
      <c r="A105" s="163">
        <v>86</v>
      </c>
      <c r="B105" s="159" t="s">
        <v>184</v>
      </c>
      <c r="C105" s="162" t="s">
        <v>394</v>
      </c>
    </row>
    <row r="106" spans="1:3" x14ac:dyDescent="0.2">
      <c r="A106" s="163">
        <v>87</v>
      </c>
      <c r="B106" s="159" t="s">
        <v>184</v>
      </c>
      <c r="C106" s="162" t="s">
        <v>394</v>
      </c>
    </row>
    <row r="107" spans="1:3" x14ac:dyDescent="0.2">
      <c r="A107" s="163">
        <v>88</v>
      </c>
      <c r="B107" s="159" t="s">
        <v>184</v>
      </c>
      <c r="C107" s="162" t="s">
        <v>394</v>
      </c>
    </row>
    <row r="108" spans="1:3" x14ac:dyDescent="0.2">
      <c r="A108" s="163">
        <v>91</v>
      </c>
      <c r="B108" s="159" t="s">
        <v>185</v>
      </c>
      <c r="C108" s="162" t="s">
        <v>394</v>
      </c>
    </row>
    <row r="109" spans="1:3" x14ac:dyDescent="0.2">
      <c r="A109" s="163">
        <v>92</v>
      </c>
      <c r="B109" s="159" t="s">
        <v>185</v>
      </c>
      <c r="C109" s="162" t="s">
        <v>394</v>
      </c>
    </row>
    <row r="110" spans="1:3" x14ac:dyDescent="0.2">
      <c r="A110" s="163">
        <v>93</v>
      </c>
      <c r="B110" s="159" t="s">
        <v>186</v>
      </c>
      <c r="C110" s="162" t="s">
        <v>393</v>
      </c>
    </row>
    <row r="111" spans="1:3" x14ac:dyDescent="0.2">
      <c r="A111" s="163">
        <v>94</v>
      </c>
      <c r="B111" s="159" t="s">
        <v>185</v>
      </c>
      <c r="C111" s="162" t="s">
        <v>394</v>
      </c>
    </row>
    <row r="112" spans="1:3" x14ac:dyDescent="0.2">
      <c r="A112" s="163">
        <v>95</v>
      </c>
      <c r="B112" s="159" t="s">
        <v>185</v>
      </c>
      <c r="C112" s="162" t="s">
        <v>394</v>
      </c>
    </row>
    <row r="113" spans="1:3" x14ac:dyDescent="0.2">
      <c r="A113" s="163">
        <v>96</v>
      </c>
      <c r="B113" s="159" t="s">
        <v>185</v>
      </c>
      <c r="C113" s="162" t="s">
        <v>394</v>
      </c>
    </row>
    <row r="114" spans="1:3" x14ac:dyDescent="0.2">
      <c r="A114" s="163">
        <v>97</v>
      </c>
      <c r="B114" s="159" t="s">
        <v>187</v>
      </c>
      <c r="C114" s="162" t="s">
        <v>394</v>
      </c>
    </row>
    <row r="115" spans="1:3" x14ac:dyDescent="0.2">
      <c r="A115" s="163">
        <v>98</v>
      </c>
      <c r="B115" s="159" t="s">
        <v>188</v>
      </c>
      <c r="C115" s="162" t="s">
        <v>394</v>
      </c>
    </row>
    <row r="116" spans="1:3" x14ac:dyDescent="0.2">
      <c r="A116" s="163">
        <v>99</v>
      </c>
      <c r="B116" s="159" t="s">
        <v>189</v>
      </c>
      <c r="C116" s="162" t="s">
        <v>394</v>
      </c>
    </row>
    <row r="117" spans="1:3" x14ac:dyDescent="0.2">
      <c r="A117" s="163">
        <v>100</v>
      </c>
      <c r="B117" s="159" t="s">
        <v>189</v>
      </c>
      <c r="C117" s="162" t="s">
        <v>394</v>
      </c>
    </row>
    <row r="118" spans="1:3" x14ac:dyDescent="0.2">
      <c r="A118" s="163">
        <v>101</v>
      </c>
      <c r="B118" s="159" t="s">
        <v>190</v>
      </c>
      <c r="C118" s="162" t="s">
        <v>394</v>
      </c>
    </row>
    <row r="119" spans="1:3" x14ac:dyDescent="0.2">
      <c r="A119" s="163">
        <v>102</v>
      </c>
      <c r="B119" s="159" t="s">
        <v>190</v>
      </c>
      <c r="C119" s="162" t="s">
        <v>394</v>
      </c>
    </row>
    <row r="120" spans="1:3" x14ac:dyDescent="0.2">
      <c r="A120" s="163">
        <v>103</v>
      </c>
      <c r="B120" s="159" t="s">
        <v>190</v>
      </c>
      <c r="C120" s="162" t="s">
        <v>394</v>
      </c>
    </row>
    <row r="121" spans="1:3" x14ac:dyDescent="0.2">
      <c r="A121" s="163">
        <v>104</v>
      </c>
      <c r="B121" s="159" t="s">
        <v>191</v>
      </c>
      <c r="C121" s="162" t="s">
        <v>394</v>
      </c>
    </row>
    <row r="122" spans="1:3" x14ac:dyDescent="0.2">
      <c r="A122" s="163">
        <v>105</v>
      </c>
      <c r="B122" s="159" t="s">
        <v>191</v>
      </c>
      <c r="C122" s="162" t="s">
        <v>394</v>
      </c>
    </row>
    <row r="123" spans="1:3" x14ac:dyDescent="0.2">
      <c r="A123" s="163">
        <v>106</v>
      </c>
      <c r="B123" s="159" t="s">
        <v>191</v>
      </c>
      <c r="C123" s="162" t="s">
        <v>394</v>
      </c>
    </row>
    <row r="124" spans="1:3" x14ac:dyDescent="0.2">
      <c r="A124" s="163">
        <v>107</v>
      </c>
      <c r="B124" s="159" t="s">
        <v>191</v>
      </c>
      <c r="C124" s="162" t="s">
        <v>394</v>
      </c>
    </row>
    <row r="125" spans="1:3" x14ac:dyDescent="0.2">
      <c r="A125" s="163">
        <v>108</v>
      </c>
      <c r="B125" s="159" t="s">
        <v>191</v>
      </c>
      <c r="C125" s="162" t="s">
        <v>394</v>
      </c>
    </row>
    <row r="126" spans="1:3" x14ac:dyDescent="0.2">
      <c r="A126" s="163">
        <v>109</v>
      </c>
      <c r="B126" s="159" t="s">
        <v>191</v>
      </c>
      <c r="C126" s="162" t="s">
        <v>394</v>
      </c>
    </row>
    <row r="127" spans="1:3" x14ac:dyDescent="0.2">
      <c r="A127" s="163">
        <v>110</v>
      </c>
      <c r="B127" s="159" t="s">
        <v>191</v>
      </c>
      <c r="C127" s="162" t="s">
        <v>394</v>
      </c>
    </row>
    <row r="128" spans="1:3" x14ac:dyDescent="0.2">
      <c r="A128" s="163">
        <v>111</v>
      </c>
      <c r="B128" s="159" t="s">
        <v>192</v>
      </c>
      <c r="C128" s="162" t="s">
        <v>394</v>
      </c>
    </row>
    <row r="129" spans="1:3" x14ac:dyDescent="0.2">
      <c r="A129" s="163">
        <v>112</v>
      </c>
      <c r="B129" s="159" t="s">
        <v>193</v>
      </c>
      <c r="C129" s="162" t="s">
        <v>394</v>
      </c>
    </row>
    <row r="130" spans="1:3" x14ac:dyDescent="0.2">
      <c r="A130" s="163">
        <v>113</v>
      </c>
      <c r="B130" s="159" t="s">
        <v>193</v>
      </c>
      <c r="C130" s="162" t="s">
        <v>394</v>
      </c>
    </row>
    <row r="131" spans="1:3" x14ac:dyDescent="0.2">
      <c r="A131" s="163">
        <v>115</v>
      </c>
      <c r="B131" s="159" t="s">
        <v>193</v>
      </c>
      <c r="C131" s="162" t="s">
        <v>394</v>
      </c>
    </row>
    <row r="132" spans="1:3" x14ac:dyDescent="0.2">
      <c r="A132" s="163">
        <v>116</v>
      </c>
      <c r="B132" s="159" t="s">
        <v>193</v>
      </c>
      <c r="C132" s="162" t="s">
        <v>394</v>
      </c>
    </row>
    <row r="133" spans="1:3" x14ac:dyDescent="0.2">
      <c r="A133" s="163">
        <v>117</v>
      </c>
      <c r="B133" s="159" t="s">
        <v>193</v>
      </c>
      <c r="C133" s="162" t="s">
        <v>394</v>
      </c>
    </row>
    <row r="134" spans="1:3" x14ac:dyDescent="0.2">
      <c r="A134" s="163">
        <v>118</v>
      </c>
      <c r="B134" s="159" t="s">
        <v>194</v>
      </c>
      <c r="C134" s="162" t="s">
        <v>394</v>
      </c>
    </row>
    <row r="135" spans="1:3" x14ac:dyDescent="0.2">
      <c r="A135" s="163">
        <v>119</v>
      </c>
      <c r="B135" s="159" t="s">
        <v>194</v>
      </c>
      <c r="C135" s="162" t="s">
        <v>394</v>
      </c>
    </row>
    <row r="136" spans="1:3" x14ac:dyDescent="0.2">
      <c r="A136" s="163">
        <v>120</v>
      </c>
      <c r="B136" s="159" t="s">
        <v>166</v>
      </c>
      <c r="C136" s="162" t="s">
        <v>394</v>
      </c>
    </row>
    <row r="137" spans="1:3" x14ac:dyDescent="0.2">
      <c r="A137" s="163">
        <v>121</v>
      </c>
      <c r="B137" s="159" t="s">
        <v>195</v>
      </c>
      <c r="C137" s="162" t="s">
        <v>393</v>
      </c>
    </row>
    <row r="138" spans="1:3" x14ac:dyDescent="0.2">
      <c r="A138" s="163">
        <v>122</v>
      </c>
      <c r="B138" s="159" t="s">
        <v>196</v>
      </c>
      <c r="C138" s="162" t="s">
        <v>393</v>
      </c>
    </row>
    <row r="139" spans="1:3" x14ac:dyDescent="0.2">
      <c r="A139" s="163">
        <v>123</v>
      </c>
      <c r="B139" s="159" t="s">
        <v>197</v>
      </c>
      <c r="C139" s="162" t="s">
        <v>393</v>
      </c>
    </row>
    <row r="140" spans="1:3" x14ac:dyDescent="0.2">
      <c r="A140" s="163">
        <v>124</v>
      </c>
      <c r="B140" s="159" t="s">
        <v>197</v>
      </c>
      <c r="C140" s="162" t="s">
        <v>393</v>
      </c>
    </row>
    <row r="141" spans="1:3" x14ac:dyDescent="0.2">
      <c r="A141" s="163">
        <v>125</v>
      </c>
      <c r="B141" s="159" t="s">
        <v>197</v>
      </c>
      <c r="C141" s="162" t="s">
        <v>393</v>
      </c>
    </row>
    <row r="142" spans="1:3" x14ac:dyDescent="0.2">
      <c r="A142" s="163">
        <v>126</v>
      </c>
      <c r="B142" s="159" t="s">
        <v>198</v>
      </c>
      <c r="C142" s="162" t="s">
        <v>393</v>
      </c>
    </row>
    <row r="143" spans="1:3" x14ac:dyDescent="0.2">
      <c r="A143" s="163">
        <v>127</v>
      </c>
      <c r="B143" s="159" t="s">
        <v>199</v>
      </c>
      <c r="C143" s="162" t="s">
        <v>393</v>
      </c>
    </row>
    <row r="144" spans="1:3" x14ac:dyDescent="0.2">
      <c r="A144" s="163">
        <v>128</v>
      </c>
      <c r="B144" s="159" t="s">
        <v>200</v>
      </c>
      <c r="C144" s="162" t="s">
        <v>393</v>
      </c>
    </row>
    <row r="145" spans="1:3" x14ac:dyDescent="0.2">
      <c r="A145" s="163">
        <v>129</v>
      </c>
      <c r="B145" s="159" t="s">
        <v>199</v>
      </c>
      <c r="C145" s="162" t="s">
        <v>393</v>
      </c>
    </row>
    <row r="146" spans="1:3" x14ac:dyDescent="0.2">
      <c r="A146" s="163">
        <v>130</v>
      </c>
      <c r="B146" s="159" t="s">
        <v>201</v>
      </c>
      <c r="C146" s="162" t="s">
        <v>393</v>
      </c>
    </row>
    <row r="147" spans="1:3" x14ac:dyDescent="0.2">
      <c r="A147" s="163">
        <v>131</v>
      </c>
      <c r="B147" s="159" t="s">
        <v>201</v>
      </c>
      <c r="C147" s="162" t="s">
        <v>393</v>
      </c>
    </row>
    <row r="148" spans="1:3" x14ac:dyDescent="0.2">
      <c r="A148" s="163">
        <v>132</v>
      </c>
      <c r="B148" s="159" t="s">
        <v>202</v>
      </c>
      <c r="C148" s="162" t="s">
        <v>393</v>
      </c>
    </row>
    <row r="149" spans="1:3" x14ac:dyDescent="0.2">
      <c r="A149" s="163">
        <v>133</v>
      </c>
      <c r="B149" s="159" t="s">
        <v>202</v>
      </c>
      <c r="C149" s="162" t="s">
        <v>393</v>
      </c>
    </row>
    <row r="150" spans="1:3" x14ac:dyDescent="0.2">
      <c r="A150" s="163">
        <v>134</v>
      </c>
      <c r="B150" s="159" t="s">
        <v>202</v>
      </c>
      <c r="C150" s="162" t="s">
        <v>393</v>
      </c>
    </row>
    <row r="151" spans="1:3" x14ac:dyDescent="0.2">
      <c r="A151" s="163">
        <v>135</v>
      </c>
      <c r="B151" s="159" t="s">
        <v>202</v>
      </c>
      <c r="C151" s="162" t="s">
        <v>393</v>
      </c>
    </row>
    <row r="152" spans="1:3" x14ac:dyDescent="0.2">
      <c r="A152" s="163">
        <v>136</v>
      </c>
      <c r="B152" s="159" t="s">
        <v>202</v>
      </c>
      <c r="C152" s="162" t="s">
        <v>393</v>
      </c>
    </row>
    <row r="153" spans="1:3" x14ac:dyDescent="0.2">
      <c r="A153" s="163">
        <v>137</v>
      </c>
      <c r="B153" s="159" t="s">
        <v>202</v>
      </c>
      <c r="C153" s="162" t="s">
        <v>393</v>
      </c>
    </row>
    <row r="154" spans="1:3" x14ac:dyDescent="0.2">
      <c r="A154" s="163">
        <v>138</v>
      </c>
      <c r="B154" s="159" t="s">
        <v>202</v>
      </c>
      <c r="C154" s="162" t="s">
        <v>393</v>
      </c>
    </row>
    <row r="155" spans="1:3" x14ac:dyDescent="0.2">
      <c r="A155" s="163">
        <v>140</v>
      </c>
      <c r="B155" s="159" t="s">
        <v>186</v>
      </c>
      <c r="C155" s="162" t="s">
        <v>393</v>
      </c>
    </row>
    <row r="156" spans="1:3" x14ac:dyDescent="0.2">
      <c r="A156" s="163">
        <v>141</v>
      </c>
      <c r="B156" s="159" t="s">
        <v>203</v>
      </c>
      <c r="C156" s="162" t="s">
        <v>393</v>
      </c>
    </row>
    <row r="157" spans="1:3" x14ac:dyDescent="0.2">
      <c r="A157" s="163">
        <v>142</v>
      </c>
      <c r="B157" s="159" t="s">
        <v>203</v>
      </c>
      <c r="C157" s="162" t="s">
        <v>393</v>
      </c>
    </row>
    <row r="158" spans="1:3" x14ac:dyDescent="0.2">
      <c r="A158" s="163">
        <v>143</v>
      </c>
      <c r="B158" s="159" t="s">
        <v>189</v>
      </c>
      <c r="C158" s="162" t="s">
        <v>394</v>
      </c>
    </row>
    <row r="159" spans="1:3" x14ac:dyDescent="0.2">
      <c r="A159" s="163">
        <v>144</v>
      </c>
      <c r="B159" s="159" t="s">
        <v>204</v>
      </c>
      <c r="C159" s="162" t="s">
        <v>393</v>
      </c>
    </row>
    <row r="160" spans="1:3" x14ac:dyDescent="0.2">
      <c r="A160" s="163">
        <v>145</v>
      </c>
      <c r="B160" s="159" t="s">
        <v>204</v>
      </c>
      <c r="C160" s="162" t="s">
        <v>393</v>
      </c>
    </row>
    <row r="161" spans="1:3" x14ac:dyDescent="0.2">
      <c r="A161" s="163">
        <v>146</v>
      </c>
      <c r="B161" s="159" t="s">
        <v>204</v>
      </c>
      <c r="C161" s="162" t="s">
        <v>393</v>
      </c>
    </row>
    <row r="162" spans="1:3" x14ac:dyDescent="0.2">
      <c r="A162" s="163">
        <v>147</v>
      </c>
      <c r="B162" s="159" t="s">
        <v>204</v>
      </c>
      <c r="C162" s="162" t="s">
        <v>393</v>
      </c>
    </row>
    <row r="163" spans="1:3" x14ac:dyDescent="0.2">
      <c r="A163" s="163">
        <v>148</v>
      </c>
      <c r="B163" s="159" t="s">
        <v>205</v>
      </c>
      <c r="C163" s="162" t="s">
        <v>393</v>
      </c>
    </row>
    <row r="164" spans="1:3" x14ac:dyDescent="0.2">
      <c r="A164" s="163">
        <v>149</v>
      </c>
      <c r="B164" s="159" t="s">
        <v>206</v>
      </c>
      <c r="C164" s="162" t="s">
        <v>393</v>
      </c>
    </row>
    <row r="165" spans="1:3" x14ac:dyDescent="0.2">
      <c r="A165" s="163">
        <v>150</v>
      </c>
      <c r="B165" s="159" t="s">
        <v>198</v>
      </c>
      <c r="C165" s="162" t="s">
        <v>393</v>
      </c>
    </row>
    <row r="166" spans="1:3" x14ac:dyDescent="0.2">
      <c r="A166" s="163">
        <v>151</v>
      </c>
      <c r="B166" s="159" t="s">
        <v>198</v>
      </c>
      <c r="C166" s="162" t="s">
        <v>393</v>
      </c>
    </row>
    <row r="167" spans="1:3" x14ac:dyDescent="0.2">
      <c r="A167" s="163">
        <v>152</v>
      </c>
      <c r="B167" s="159" t="s">
        <v>198</v>
      </c>
      <c r="C167" s="162" t="s">
        <v>393</v>
      </c>
    </row>
    <row r="168" spans="1:3" x14ac:dyDescent="0.2">
      <c r="A168" s="163">
        <v>153</v>
      </c>
      <c r="B168" s="159" t="s">
        <v>198</v>
      </c>
      <c r="C168" s="162" t="s">
        <v>393</v>
      </c>
    </row>
    <row r="169" spans="1:3" x14ac:dyDescent="0.2">
      <c r="A169" s="163">
        <v>154</v>
      </c>
      <c r="B169" s="159" t="s">
        <v>198</v>
      </c>
      <c r="C169" s="162" t="s">
        <v>393</v>
      </c>
    </row>
    <row r="170" spans="1:3" x14ac:dyDescent="0.2">
      <c r="A170" s="163">
        <v>155</v>
      </c>
      <c r="B170" s="159" t="s">
        <v>186</v>
      </c>
      <c r="C170" s="162" t="s">
        <v>394</v>
      </c>
    </row>
    <row r="171" spans="1:3" x14ac:dyDescent="0.2">
      <c r="A171" s="163">
        <v>156</v>
      </c>
      <c r="B171" s="159" t="s">
        <v>198</v>
      </c>
      <c r="C171" s="162" t="s">
        <v>393</v>
      </c>
    </row>
    <row r="172" spans="1:3" x14ac:dyDescent="0.2">
      <c r="A172" s="163">
        <v>157</v>
      </c>
      <c r="B172" s="159" t="s">
        <v>198</v>
      </c>
      <c r="C172" s="162" t="s">
        <v>393</v>
      </c>
    </row>
    <row r="173" spans="1:3" x14ac:dyDescent="0.2">
      <c r="A173" s="163">
        <v>158</v>
      </c>
      <c r="B173" s="159" t="s">
        <v>198</v>
      </c>
      <c r="C173" s="162" t="s">
        <v>393</v>
      </c>
    </row>
    <row r="174" spans="1:3" x14ac:dyDescent="0.2">
      <c r="A174" s="163">
        <v>159</v>
      </c>
      <c r="B174" s="159" t="s">
        <v>173</v>
      </c>
      <c r="C174" s="162" t="s">
        <v>394</v>
      </c>
    </row>
    <row r="175" spans="1:3" x14ac:dyDescent="0.2">
      <c r="A175" s="163">
        <v>160</v>
      </c>
      <c r="B175" s="159" t="s">
        <v>198</v>
      </c>
      <c r="C175" s="162" t="s">
        <v>393</v>
      </c>
    </row>
    <row r="176" spans="1:3" x14ac:dyDescent="0.2">
      <c r="A176" s="163">
        <v>161</v>
      </c>
      <c r="B176" s="159" t="s">
        <v>198</v>
      </c>
      <c r="C176" s="162" t="s">
        <v>393</v>
      </c>
    </row>
    <row r="177" spans="1:3" x14ac:dyDescent="0.2">
      <c r="A177" s="163">
        <v>162</v>
      </c>
      <c r="B177" s="159" t="s">
        <v>198</v>
      </c>
      <c r="C177" s="162" t="s">
        <v>393</v>
      </c>
    </row>
    <row r="178" spans="1:3" x14ac:dyDescent="0.2">
      <c r="A178" s="163">
        <v>163</v>
      </c>
      <c r="B178" s="159" t="s">
        <v>198</v>
      </c>
      <c r="C178" s="162" t="s">
        <v>393</v>
      </c>
    </row>
    <row r="179" spans="1:3" x14ac:dyDescent="0.2">
      <c r="A179" s="163">
        <v>164</v>
      </c>
      <c r="B179" s="159" t="s">
        <v>198</v>
      </c>
      <c r="C179" s="162" t="s">
        <v>393</v>
      </c>
    </row>
    <row r="180" spans="1:3" x14ac:dyDescent="0.2">
      <c r="A180" s="163">
        <v>165</v>
      </c>
      <c r="B180" s="159" t="s">
        <v>198</v>
      </c>
      <c r="C180" s="162" t="s">
        <v>393</v>
      </c>
    </row>
    <row r="181" spans="1:3" x14ac:dyDescent="0.2">
      <c r="A181" s="163">
        <v>166</v>
      </c>
      <c r="B181" s="159" t="s">
        <v>198</v>
      </c>
      <c r="C181" s="162" t="s">
        <v>393</v>
      </c>
    </row>
    <row r="182" spans="1:3" x14ac:dyDescent="0.2">
      <c r="A182" s="163">
        <v>167</v>
      </c>
      <c r="B182" s="159" t="s">
        <v>198</v>
      </c>
      <c r="C182" s="162" t="s">
        <v>393</v>
      </c>
    </row>
    <row r="183" spans="1:3" x14ac:dyDescent="0.2">
      <c r="A183" s="163">
        <v>168</v>
      </c>
      <c r="B183" s="159" t="s">
        <v>198</v>
      </c>
      <c r="C183" s="162" t="s">
        <v>393</v>
      </c>
    </row>
    <row r="184" spans="1:3" x14ac:dyDescent="0.2">
      <c r="A184" s="163">
        <v>169</v>
      </c>
      <c r="B184" s="159" t="s">
        <v>198</v>
      </c>
      <c r="C184" s="162" t="s">
        <v>393</v>
      </c>
    </row>
    <row r="185" spans="1:3" x14ac:dyDescent="0.2">
      <c r="A185" s="163">
        <v>170</v>
      </c>
      <c r="B185" s="159" t="s">
        <v>198</v>
      </c>
      <c r="C185" s="162" t="s">
        <v>393</v>
      </c>
    </row>
    <row r="186" spans="1:3" x14ac:dyDescent="0.2">
      <c r="A186" s="163">
        <v>171</v>
      </c>
      <c r="B186" s="159" t="s">
        <v>198</v>
      </c>
      <c r="C186" s="162" t="s">
        <v>393</v>
      </c>
    </row>
    <row r="187" spans="1:3" x14ac:dyDescent="0.2">
      <c r="A187" s="163">
        <v>172</v>
      </c>
      <c r="B187" s="159" t="s">
        <v>198</v>
      </c>
      <c r="C187" s="162" t="s">
        <v>393</v>
      </c>
    </row>
    <row r="188" spans="1:3" x14ac:dyDescent="0.2">
      <c r="A188" s="163">
        <v>173</v>
      </c>
      <c r="B188" s="159" t="s">
        <v>198</v>
      </c>
      <c r="C188" s="162" t="s">
        <v>393</v>
      </c>
    </row>
    <row r="189" spans="1:3" x14ac:dyDescent="0.2">
      <c r="A189" s="163">
        <v>174</v>
      </c>
      <c r="B189" s="159" t="s">
        <v>198</v>
      </c>
      <c r="C189" s="162" t="s">
        <v>393</v>
      </c>
    </row>
    <row r="190" spans="1:3" x14ac:dyDescent="0.2">
      <c r="A190" s="163">
        <v>175</v>
      </c>
      <c r="B190" s="159" t="s">
        <v>198</v>
      </c>
      <c r="C190" s="162" t="s">
        <v>393</v>
      </c>
    </row>
    <row r="191" spans="1:3" x14ac:dyDescent="0.2">
      <c r="A191" s="163">
        <v>176</v>
      </c>
      <c r="B191" s="159" t="s">
        <v>198</v>
      </c>
      <c r="C191" s="162" t="s">
        <v>393</v>
      </c>
    </row>
    <row r="192" spans="1:3" x14ac:dyDescent="0.2">
      <c r="A192" s="163">
        <v>177</v>
      </c>
      <c r="B192" s="159" t="s">
        <v>198</v>
      </c>
      <c r="C192" s="162" t="s">
        <v>393</v>
      </c>
    </row>
    <row r="193" spans="1:3" x14ac:dyDescent="0.2">
      <c r="A193" s="163">
        <v>178</v>
      </c>
      <c r="B193" s="159" t="s">
        <v>207</v>
      </c>
      <c r="C193" s="162" t="s">
        <v>393</v>
      </c>
    </row>
    <row r="194" spans="1:3" x14ac:dyDescent="0.2">
      <c r="A194" s="163">
        <v>179</v>
      </c>
      <c r="B194" s="159" t="s">
        <v>198</v>
      </c>
      <c r="C194" s="162" t="s">
        <v>393</v>
      </c>
    </row>
    <row r="195" spans="1:3" x14ac:dyDescent="0.2">
      <c r="A195" s="163">
        <v>180</v>
      </c>
      <c r="B195" s="159" t="s">
        <v>198</v>
      </c>
      <c r="C195" s="162" t="s">
        <v>393</v>
      </c>
    </row>
    <row r="196" spans="1:3" x14ac:dyDescent="0.2">
      <c r="A196" s="163">
        <v>181</v>
      </c>
      <c r="B196" s="159" t="s">
        <v>198</v>
      </c>
      <c r="C196" s="162" t="s">
        <v>393</v>
      </c>
    </row>
    <row r="197" spans="1:3" x14ac:dyDescent="0.2">
      <c r="A197" s="163">
        <v>182</v>
      </c>
      <c r="B197" s="159" t="s">
        <v>198</v>
      </c>
      <c r="C197" s="162" t="s">
        <v>393</v>
      </c>
    </row>
    <row r="198" spans="1:3" x14ac:dyDescent="0.2">
      <c r="A198" s="163">
        <v>183</v>
      </c>
      <c r="B198" s="159" t="s">
        <v>198</v>
      </c>
      <c r="C198" s="162" t="s">
        <v>393</v>
      </c>
    </row>
    <row r="199" spans="1:3" x14ac:dyDescent="0.2">
      <c r="A199" s="163">
        <v>184</v>
      </c>
      <c r="B199" s="159" t="s">
        <v>198</v>
      </c>
      <c r="C199" s="162" t="s">
        <v>393</v>
      </c>
    </row>
    <row r="200" spans="1:3" x14ac:dyDescent="0.2">
      <c r="A200" s="163">
        <v>185</v>
      </c>
      <c r="B200" s="159" t="s">
        <v>198</v>
      </c>
      <c r="C200" s="162" t="s">
        <v>393</v>
      </c>
    </row>
    <row r="201" spans="1:3" x14ac:dyDescent="0.2">
      <c r="A201" s="163">
        <v>186</v>
      </c>
      <c r="B201" s="159" t="s">
        <v>198</v>
      </c>
      <c r="C201" s="162" t="s">
        <v>393</v>
      </c>
    </row>
    <row r="202" spans="1:3" x14ac:dyDescent="0.2">
      <c r="A202" s="163">
        <v>187</v>
      </c>
      <c r="B202" s="159" t="s">
        <v>198</v>
      </c>
      <c r="C202" s="162" t="s">
        <v>393</v>
      </c>
    </row>
    <row r="203" spans="1:3" x14ac:dyDescent="0.2">
      <c r="A203" s="163">
        <v>188</v>
      </c>
      <c r="B203" s="159" t="s">
        <v>198</v>
      </c>
      <c r="C203" s="162" t="s">
        <v>393</v>
      </c>
    </row>
    <row r="204" spans="1:3" x14ac:dyDescent="0.2">
      <c r="A204" s="163">
        <v>189</v>
      </c>
      <c r="B204" s="159" t="s">
        <v>198</v>
      </c>
      <c r="C204" s="162" t="s">
        <v>394</v>
      </c>
    </row>
    <row r="205" spans="1:3" x14ac:dyDescent="0.2">
      <c r="A205" s="163">
        <v>190</v>
      </c>
      <c r="B205" s="159" t="s">
        <v>198</v>
      </c>
      <c r="C205" s="162" t="s">
        <v>394</v>
      </c>
    </row>
    <row r="206" spans="1:3" x14ac:dyDescent="0.2">
      <c r="A206" s="163">
        <v>191</v>
      </c>
      <c r="B206" s="159" t="s">
        <v>198</v>
      </c>
      <c r="C206" s="162" t="s">
        <v>394</v>
      </c>
    </row>
    <row r="207" spans="1:3" x14ac:dyDescent="0.2">
      <c r="A207" s="163">
        <v>192</v>
      </c>
      <c r="B207" s="159" t="s">
        <v>198</v>
      </c>
      <c r="C207" s="162" t="s">
        <v>394</v>
      </c>
    </row>
    <row r="208" spans="1:3" x14ac:dyDescent="0.2">
      <c r="A208" s="163">
        <v>193</v>
      </c>
      <c r="B208" s="159" t="s">
        <v>198</v>
      </c>
      <c r="C208" s="162" t="s">
        <v>394</v>
      </c>
    </row>
    <row r="209" spans="1:3" x14ac:dyDescent="0.2">
      <c r="A209" s="163">
        <v>194</v>
      </c>
      <c r="B209" s="159" t="s">
        <v>198</v>
      </c>
      <c r="C209" s="162" t="s">
        <v>394</v>
      </c>
    </row>
    <row r="210" spans="1:3" x14ac:dyDescent="0.2">
      <c r="A210" s="163">
        <v>195</v>
      </c>
      <c r="B210" s="159" t="s">
        <v>198</v>
      </c>
      <c r="C210" s="162" t="s">
        <v>394</v>
      </c>
    </row>
    <row r="211" spans="1:3" x14ac:dyDescent="0.2">
      <c r="A211" s="163">
        <v>196</v>
      </c>
      <c r="B211" s="159" t="s">
        <v>198</v>
      </c>
      <c r="C211" s="162" t="s">
        <v>394</v>
      </c>
    </row>
    <row r="212" spans="1:3" x14ac:dyDescent="0.2">
      <c r="A212" s="163">
        <v>197</v>
      </c>
      <c r="B212" s="159" t="s">
        <v>198</v>
      </c>
      <c r="C212" s="162" t="s">
        <v>394</v>
      </c>
    </row>
    <row r="213" spans="1:3" x14ac:dyDescent="0.2">
      <c r="A213" s="163">
        <v>198</v>
      </c>
      <c r="B213" s="159" t="s">
        <v>198</v>
      </c>
      <c r="C213" s="162" t="s">
        <v>394</v>
      </c>
    </row>
    <row r="214" spans="1:3" x14ac:dyDescent="0.2">
      <c r="A214" s="163">
        <v>199</v>
      </c>
      <c r="B214" s="159" t="s">
        <v>198</v>
      </c>
      <c r="C214" s="162" t="s">
        <v>394</v>
      </c>
    </row>
    <row r="215" spans="1:3" x14ac:dyDescent="0.2">
      <c r="A215" s="163">
        <v>201</v>
      </c>
      <c r="B215" s="159" t="s">
        <v>198</v>
      </c>
      <c r="C215" s="162" t="s">
        <v>394</v>
      </c>
    </row>
    <row r="216" spans="1:3" x14ac:dyDescent="0.2">
      <c r="A216" s="163">
        <v>202</v>
      </c>
      <c r="B216" s="159" t="s">
        <v>198</v>
      </c>
      <c r="C216" s="162" t="s">
        <v>394</v>
      </c>
    </row>
    <row r="217" spans="1:3" x14ac:dyDescent="0.2">
      <c r="A217" s="163">
        <v>203</v>
      </c>
      <c r="B217" s="159" t="s">
        <v>198</v>
      </c>
      <c r="C217" s="162" t="s">
        <v>394</v>
      </c>
    </row>
    <row r="218" spans="1:3" x14ac:dyDescent="0.2">
      <c r="A218" s="163">
        <v>204</v>
      </c>
      <c r="B218" s="159" t="s">
        <v>198</v>
      </c>
      <c r="C218" s="162" t="s">
        <v>394</v>
      </c>
    </row>
    <row r="219" spans="1:3" x14ac:dyDescent="0.2">
      <c r="A219" s="163">
        <v>205</v>
      </c>
      <c r="B219" s="159" t="s">
        <v>198</v>
      </c>
      <c r="C219" s="162" t="s">
        <v>394</v>
      </c>
    </row>
    <row r="220" spans="1:3" x14ac:dyDescent="0.2">
      <c r="A220" s="163">
        <v>206</v>
      </c>
      <c r="B220" s="159" t="s">
        <v>198</v>
      </c>
      <c r="C220" s="162" t="s">
        <v>394</v>
      </c>
    </row>
    <row r="221" spans="1:3" x14ac:dyDescent="0.2">
      <c r="A221" s="163">
        <v>207</v>
      </c>
      <c r="B221" s="159" t="s">
        <v>198</v>
      </c>
      <c r="C221" s="162" t="s">
        <v>394</v>
      </c>
    </row>
    <row r="222" spans="1:3" x14ac:dyDescent="0.2">
      <c r="A222" s="163">
        <v>208</v>
      </c>
      <c r="B222" s="159" t="s">
        <v>198</v>
      </c>
      <c r="C222" s="162" t="s">
        <v>394</v>
      </c>
    </row>
    <row r="223" spans="1:3" x14ac:dyDescent="0.2">
      <c r="A223" s="163">
        <v>209</v>
      </c>
      <c r="B223" s="159" t="s">
        <v>198</v>
      </c>
      <c r="C223" s="162" t="s">
        <v>393</v>
      </c>
    </row>
    <row r="224" spans="1:3" x14ac:dyDescent="0.2">
      <c r="A224" s="163">
        <v>210</v>
      </c>
      <c r="B224" s="159" t="s">
        <v>198</v>
      </c>
      <c r="C224" s="162" t="s">
        <v>393</v>
      </c>
    </row>
    <row r="225" spans="1:3" x14ac:dyDescent="0.2">
      <c r="A225" s="163">
        <v>211</v>
      </c>
      <c r="B225" s="159" t="s">
        <v>198</v>
      </c>
      <c r="C225" s="162" t="s">
        <v>393</v>
      </c>
    </row>
    <row r="226" spans="1:3" x14ac:dyDescent="0.2">
      <c r="A226" s="163">
        <v>212</v>
      </c>
      <c r="B226" s="159" t="s">
        <v>198</v>
      </c>
      <c r="C226" s="162" t="s">
        <v>393</v>
      </c>
    </row>
    <row r="227" spans="1:3" x14ac:dyDescent="0.2">
      <c r="A227" s="163">
        <v>213</v>
      </c>
      <c r="B227" s="159" t="s">
        <v>198</v>
      </c>
      <c r="C227" s="162" t="s">
        <v>393</v>
      </c>
    </row>
    <row r="228" spans="1:3" x14ac:dyDescent="0.2">
      <c r="A228" s="163">
        <v>214</v>
      </c>
      <c r="B228" s="159" t="s">
        <v>198</v>
      </c>
      <c r="C228" s="162" t="s">
        <v>393</v>
      </c>
    </row>
    <row r="229" spans="1:3" x14ac:dyDescent="0.2">
      <c r="A229" s="163">
        <v>215</v>
      </c>
      <c r="B229" s="159" t="s">
        <v>198</v>
      </c>
      <c r="C229" s="162" t="s">
        <v>393</v>
      </c>
    </row>
    <row r="230" spans="1:3" x14ac:dyDescent="0.2">
      <c r="A230" s="163">
        <v>216</v>
      </c>
      <c r="B230" s="159" t="s">
        <v>198</v>
      </c>
      <c r="C230" s="162" t="s">
        <v>393</v>
      </c>
    </row>
    <row r="231" spans="1:3" x14ac:dyDescent="0.2">
      <c r="A231" s="163">
        <v>217</v>
      </c>
      <c r="B231" s="159" t="s">
        <v>198</v>
      </c>
      <c r="C231" s="162" t="s">
        <v>393</v>
      </c>
    </row>
    <row r="232" spans="1:3" x14ac:dyDescent="0.2">
      <c r="A232" s="163">
        <v>218</v>
      </c>
      <c r="B232" s="159" t="s">
        <v>198</v>
      </c>
      <c r="C232" s="162" t="s">
        <v>393</v>
      </c>
    </row>
    <row r="233" spans="1:3" x14ac:dyDescent="0.2">
      <c r="A233" s="163">
        <v>219</v>
      </c>
      <c r="B233" s="159" t="s">
        <v>198</v>
      </c>
      <c r="C233" s="162" t="s">
        <v>393</v>
      </c>
    </row>
    <row r="234" spans="1:3" x14ac:dyDescent="0.2">
      <c r="A234" s="163">
        <v>220</v>
      </c>
      <c r="B234" s="159" t="s">
        <v>198</v>
      </c>
      <c r="C234" s="162" t="s">
        <v>393</v>
      </c>
    </row>
    <row r="235" spans="1:3" x14ac:dyDescent="0.2">
      <c r="A235" s="163">
        <v>221</v>
      </c>
      <c r="B235" s="159" t="s">
        <v>198</v>
      </c>
      <c r="C235" s="162" t="s">
        <v>393</v>
      </c>
    </row>
    <row r="236" spans="1:3" x14ac:dyDescent="0.2">
      <c r="A236" s="163">
        <v>222</v>
      </c>
      <c r="B236" s="159" t="s">
        <v>198</v>
      </c>
      <c r="C236" s="162" t="s">
        <v>393</v>
      </c>
    </row>
    <row r="237" spans="1:3" x14ac:dyDescent="0.2">
      <c r="A237" s="163">
        <v>223</v>
      </c>
      <c r="B237" s="159" t="s">
        <v>198</v>
      </c>
      <c r="C237" s="162" t="s">
        <v>393</v>
      </c>
    </row>
    <row r="238" spans="1:3" x14ac:dyDescent="0.2">
      <c r="A238" s="163">
        <v>224</v>
      </c>
      <c r="B238" s="159" t="s">
        <v>198</v>
      </c>
      <c r="C238" s="162" t="s">
        <v>393</v>
      </c>
    </row>
    <row r="239" spans="1:3" x14ac:dyDescent="0.2">
      <c r="A239" s="163">
        <v>225</v>
      </c>
      <c r="B239" s="159" t="s">
        <v>198</v>
      </c>
      <c r="C239" s="162" t="s">
        <v>393</v>
      </c>
    </row>
    <row r="240" spans="1:3" x14ac:dyDescent="0.2">
      <c r="A240" s="163">
        <v>226</v>
      </c>
      <c r="B240" s="159" t="s">
        <v>198</v>
      </c>
      <c r="C240" s="162" t="s">
        <v>393</v>
      </c>
    </row>
    <row r="241" spans="1:3" x14ac:dyDescent="0.2">
      <c r="A241" s="163">
        <v>227</v>
      </c>
      <c r="B241" s="159" t="s">
        <v>198</v>
      </c>
      <c r="C241" s="162" t="s">
        <v>393</v>
      </c>
    </row>
    <row r="242" spans="1:3" x14ac:dyDescent="0.2">
      <c r="A242" s="163">
        <v>228</v>
      </c>
      <c r="B242" s="159" t="s">
        <v>208</v>
      </c>
      <c r="C242" s="162" t="s">
        <v>394</v>
      </c>
    </row>
    <row r="243" spans="1:3" x14ac:dyDescent="0.2">
      <c r="A243" s="163">
        <v>229</v>
      </c>
      <c r="B243" s="159" t="s">
        <v>208</v>
      </c>
      <c r="C243" s="162" t="s">
        <v>394</v>
      </c>
    </row>
    <row r="244" spans="1:3" x14ac:dyDescent="0.2">
      <c r="A244" s="163">
        <v>230</v>
      </c>
      <c r="B244" s="159" t="s">
        <v>198</v>
      </c>
      <c r="C244" s="162" t="s">
        <v>394</v>
      </c>
    </row>
    <row r="245" spans="1:3" x14ac:dyDescent="0.2">
      <c r="A245" s="163">
        <v>231</v>
      </c>
      <c r="B245" s="159" t="s">
        <v>186</v>
      </c>
      <c r="C245" s="162" t="s">
        <v>393</v>
      </c>
    </row>
    <row r="246" spans="1:3" x14ac:dyDescent="0.2">
      <c r="A246" s="163">
        <v>233</v>
      </c>
      <c r="B246" s="159" t="s">
        <v>186</v>
      </c>
      <c r="C246" s="162" t="s">
        <v>393</v>
      </c>
    </row>
    <row r="247" spans="1:3" x14ac:dyDescent="0.2">
      <c r="A247" s="163">
        <v>234</v>
      </c>
      <c r="B247" s="159" t="s">
        <v>186</v>
      </c>
      <c r="C247" s="162" t="s">
        <v>393</v>
      </c>
    </row>
    <row r="248" spans="1:3" x14ac:dyDescent="0.2">
      <c r="A248" s="163">
        <v>235</v>
      </c>
      <c r="B248" s="159" t="s">
        <v>186</v>
      </c>
      <c r="C248" s="162" t="s">
        <v>393</v>
      </c>
    </row>
    <row r="249" spans="1:3" x14ac:dyDescent="0.2">
      <c r="A249" s="163">
        <v>236</v>
      </c>
      <c r="B249" s="159" t="s">
        <v>186</v>
      </c>
      <c r="C249" s="162" t="s">
        <v>393</v>
      </c>
    </row>
    <row r="250" spans="1:3" x14ac:dyDescent="0.2">
      <c r="A250" s="163">
        <v>237</v>
      </c>
      <c r="B250" s="159" t="s">
        <v>186</v>
      </c>
      <c r="C250" s="162" t="s">
        <v>393</v>
      </c>
    </row>
    <row r="251" spans="1:3" x14ac:dyDescent="0.2">
      <c r="A251" s="163">
        <v>238</v>
      </c>
      <c r="B251" s="159" t="s">
        <v>198</v>
      </c>
      <c r="C251" s="162" t="s">
        <v>393</v>
      </c>
    </row>
    <row r="252" spans="1:3" x14ac:dyDescent="0.2">
      <c r="A252" s="163">
        <v>241</v>
      </c>
      <c r="B252" s="159" t="s">
        <v>209</v>
      </c>
      <c r="C252" s="162" t="s">
        <v>393</v>
      </c>
    </row>
    <row r="253" spans="1:3" x14ac:dyDescent="0.2">
      <c r="A253" s="163">
        <v>242</v>
      </c>
      <c r="B253" s="159" t="s">
        <v>210</v>
      </c>
      <c r="C253" s="162" t="s">
        <v>393</v>
      </c>
    </row>
    <row r="254" spans="1:3" x14ac:dyDescent="0.2">
      <c r="A254" s="163">
        <v>243</v>
      </c>
      <c r="B254" s="159" t="s">
        <v>174</v>
      </c>
      <c r="C254" s="162" t="s">
        <v>393</v>
      </c>
    </row>
    <row r="255" spans="1:3" x14ac:dyDescent="0.2">
      <c r="A255" s="163">
        <v>244</v>
      </c>
      <c r="B255" s="159" t="s">
        <v>198</v>
      </c>
      <c r="C255" s="162" t="s">
        <v>393</v>
      </c>
    </row>
    <row r="256" spans="1:3" x14ac:dyDescent="0.2">
      <c r="A256" s="163">
        <v>245</v>
      </c>
      <c r="B256" s="159" t="s">
        <v>210</v>
      </c>
      <c r="C256" s="162" t="s">
        <v>393</v>
      </c>
    </row>
    <row r="257" spans="1:3" x14ac:dyDescent="0.2">
      <c r="A257" s="163">
        <v>246</v>
      </c>
      <c r="B257" s="159" t="s">
        <v>211</v>
      </c>
      <c r="C257" s="162" t="s">
        <v>393</v>
      </c>
    </row>
    <row r="258" spans="1:3" x14ac:dyDescent="0.2">
      <c r="A258" s="163">
        <v>247</v>
      </c>
      <c r="B258" s="159" t="s">
        <v>210</v>
      </c>
      <c r="C258" s="162" t="s">
        <v>393</v>
      </c>
    </row>
    <row r="259" spans="1:3" x14ac:dyDescent="0.2">
      <c r="A259" s="163">
        <v>248</v>
      </c>
      <c r="B259" s="159" t="s">
        <v>198</v>
      </c>
      <c r="C259" s="162" t="s">
        <v>393</v>
      </c>
    </row>
    <row r="260" spans="1:3" x14ac:dyDescent="0.2">
      <c r="A260" s="163">
        <v>249</v>
      </c>
      <c r="B260" s="159" t="s">
        <v>210</v>
      </c>
      <c r="C260" s="162" t="s">
        <v>393</v>
      </c>
    </row>
    <row r="261" spans="1:3" x14ac:dyDescent="0.2">
      <c r="A261" s="163">
        <v>250</v>
      </c>
      <c r="B261" s="159" t="s">
        <v>212</v>
      </c>
      <c r="C261" s="162" t="s">
        <v>394</v>
      </c>
    </row>
    <row r="262" spans="1:3" x14ac:dyDescent="0.2">
      <c r="A262" s="163">
        <v>251</v>
      </c>
      <c r="B262" s="159" t="s">
        <v>212</v>
      </c>
      <c r="C262" s="162" t="s">
        <v>394</v>
      </c>
    </row>
    <row r="263" spans="1:3" x14ac:dyDescent="0.2">
      <c r="A263" s="163">
        <v>252</v>
      </c>
      <c r="B263" s="159" t="s">
        <v>212</v>
      </c>
      <c r="C263" s="162" t="s">
        <v>394</v>
      </c>
    </row>
    <row r="264" spans="1:3" x14ac:dyDescent="0.2">
      <c r="A264" s="163">
        <v>253</v>
      </c>
      <c r="B264" s="159" t="s">
        <v>212</v>
      </c>
      <c r="C264" s="162" t="s">
        <v>394</v>
      </c>
    </row>
    <row r="265" spans="1:3" x14ac:dyDescent="0.2">
      <c r="A265" s="163">
        <v>254</v>
      </c>
      <c r="B265" s="159" t="s">
        <v>213</v>
      </c>
      <c r="C265" s="162" t="s">
        <v>393</v>
      </c>
    </row>
    <row r="266" spans="1:3" x14ac:dyDescent="0.2">
      <c r="A266" s="163">
        <v>255</v>
      </c>
      <c r="B266" s="159" t="s">
        <v>214</v>
      </c>
      <c r="C266" s="162" t="s">
        <v>393</v>
      </c>
    </row>
    <row r="267" spans="1:3" x14ac:dyDescent="0.2">
      <c r="A267" s="163">
        <v>257</v>
      </c>
      <c r="B267" s="159" t="s">
        <v>215</v>
      </c>
      <c r="C267" s="162" t="s">
        <v>393</v>
      </c>
    </row>
    <row r="268" spans="1:3" x14ac:dyDescent="0.2">
      <c r="A268" s="163">
        <v>258</v>
      </c>
      <c r="B268" s="159" t="s">
        <v>216</v>
      </c>
      <c r="C268" s="162" t="s">
        <v>393</v>
      </c>
    </row>
    <row r="269" spans="1:3" x14ac:dyDescent="0.2">
      <c r="A269" s="163">
        <v>259</v>
      </c>
      <c r="B269" s="159" t="s">
        <v>217</v>
      </c>
      <c r="C269" s="162" t="s">
        <v>393</v>
      </c>
    </row>
    <row r="270" spans="1:3" x14ac:dyDescent="0.2">
      <c r="A270" s="163">
        <v>260</v>
      </c>
      <c r="B270" s="159" t="s">
        <v>216</v>
      </c>
      <c r="C270" s="162" t="s">
        <v>394</v>
      </c>
    </row>
    <row r="271" spans="1:3" x14ac:dyDescent="0.2">
      <c r="A271" s="163">
        <v>261</v>
      </c>
      <c r="B271" s="159" t="s">
        <v>216</v>
      </c>
      <c r="C271" s="162" t="s">
        <v>393</v>
      </c>
    </row>
    <row r="272" spans="1:3" x14ac:dyDescent="0.2">
      <c r="A272" s="163">
        <v>262</v>
      </c>
      <c r="B272" s="159" t="s">
        <v>216</v>
      </c>
      <c r="C272" s="162" t="s">
        <v>393</v>
      </c>
    </row>
    <row r="273" spans="1:3" x14ac:dyDescent="0.2">
      <c r="A273" s="163">
        <v>263</v>
      </c>
      <c r="B273" s="159" t="s">
        <v>216</v>
      </c>
      <c r="C273" s="162" t="s">
        <v>393</v>
      </c>
    </row>
    <row r="274" spans="1:3" x14ac:dyDescent="0.2">
      <c r="A274" s="163">
        <v>264</v>
      </c>
      <c r="B274" s="159" t="s">
        <v>216</v>
      </c>
      <c r="C274" s="162" t="s">
        <v>393</v>
      </c>
    </row>
    <row r="275" spans="1:3" x14ac:dyDescent="0.2">
      <c r="A275" s="163">
        <v>265</v>
      </c>
      <c r="B275" s="159" t="s">
        <v>218</v>
      </c>
      <c r="C275" s="162" t="s">
        <v>394</v>
      </c>
    </row>
    <row r="276" spans="1:3" x14ac:dyDescent="0.2">
      <c r="A276" s="163">
        <v>266</v>
      </c>
      <c r="B276" s="159" t="s">
        <v>218</v>
      </c>
      <c r="C276" s="162" t="s">
        <v>394</v>
      </c>
    </row>
    <row r="277" spans="1:3" x14ac:dyDescent="0.2">
      <c r="A277" s="163">
        <v>267</v>
      </c>
      <c r="B277" s="159" t="s">
        <v>218</v>
      </c>
      <c r="C277" s="162" t="s">
        <v>394</v>
      </c>
    </row>
    <row r="278" spans="1:3" x14ac:dyDescent="0.2">
      <c r="A278" s="163">
        <v>268</v>
      </c>
      <c r="B278" s="159" t="s">
        <v>218</v>
      </c>
      <c r="C278" s="162" t="s">
        <v>394</v>
      </c>
    </row>
    <row r="279" spans="1:3" x14ac:dyDescent="0.2">
      <c r="A279" s="163">
        <v>269</v>
      </c>
      <c r="B279" s="159" t="s">
        <v>218</v>
      </c>
      <c r="C279" s="162" t="s">
        <v>394</v>
      </c>
    </row>
    <row r="280" spans="1:3" x14ac:dyDescent="0.2">
      <c r="A280" s="163">
        <v>270</v>
      </c>
      <c r="B280" s="159" t="s">
        <v>218</v>
      </c>
      <c r="C280" s="162" t="s">
        <v>394</v>
      </c>
    </row>
    <row r="281" spans="1:3" x14ac:dyDescent="0.2">
      <c r="A281" s="163">
        <v>271</v>
      </c>
      <c r="B281" s="159" t="s">
        <v>218</v>
      </c>
      <c r="C281" s="162" t="s">
        <v>394</v>
      </c>
    </row>
    <row r="282" spans="1:3" x14ac:dyDescent="0.2">
      <c r="A282" s="163">
        <v>272</v>
      </c>
      <c r="B282" s="159" t="s">
        <v>218</v>
      </c>
      <c r="C282" s="162" t="s">
        <v>394</v>
      </c>
    </row>
    <row r="283" spans="1:3" x14ac:dyDescent="0.2">
      <c r="A283" s="163">
        <v>273</v>
      </c>
      <c r="B283" s="159" t="s">
        <v>218</v>
      </c>
      <c r="C283" s="162" t="s">
        <v>394</v>
      </c>
    </row>
    <row r="284" spans="1:3" x14ac:dyDescent="0.2">
      <c r="A284" s="163">
        <v>274</v>
      </c>
      <c r="B284" s="159" t="s">
        <v>218</v>
      </c>
      <c r="C284" s="162" t="s">
        <v>394</v>
      </c>
    </row>
    <row r="285" spans="1:3" x14ac:dyDescent="0.2">
      <c r="A285" s="163">
        <v>276</v>
      </c>
      <c r="B285" s="159" t="s">
        <v>218</v>
      </c>
      <c r="C285" s="162" t="s">
        <v>394</v>
      </c>
    </row>
    <row r="286" spans="1:3" x14ac:dyDescent="0.2">
      <c r="A286" s="163">
        <v>277</v>
      </c>
      <c r="B286" s="159" t="s">
        <v>219</v>
      </c>
      <c r="C286" s="162" t="s">
        <v>394</v>
      </c>
    </row>
    <row r="287" spans="1:3" x14ac:dyDescent="0.2">
      <c r="A287" s="163">
        <v>278</v>
      </c>
      <c r="B287" s="159" t="s">
        <v>220</v>
      </c>
      <c r="C287" s="162" t="s">
        <v>394</v>
      </c>
    </row>
    <row r="288" spans="1:3" x14ac:dyDescent="0.2">
      <c r="A288" s="163">
        <v>279</v>
      </c>
      <c r="B288" s="159" t="s">
        <v>221</v>
      </c>
      <c r="C288" s="162" t="s">
        <v>394</v>
      </c>
    </row>
    <row r="289" spans="1:3" x14ac:dyDescent="0.2">
      <c r="A289" s="163">
        <v>280</v>
      </c>
      <c r="B289" s="159" t="s">
        <v>222</v>
      </c>
      <c r="C289" s="162" t="s">
        <v>394</v>
      </c>
    </row>
    <row r="290" spans="1:3" x14ac:dyDescent="0.2">
      <c r="A290" s="163">
        <v>281</v>
      </c>
      <c r="B290" s="159" t="s">
        <v>223</v>
      </c>
      <c r="C290" s="162" t="s">
        <v>393</v>
      </c>
    </row>
    <row r="291" spans="1:3" x14ac:dyDescent="0.2">
      <c r="A291" s="163">
        <v>283</v>
      </c>
      <c r="B291" s="159" t="s">
        <v>224</v>
      </c>
      <c r="C291" s="162" t="s">
        <v>393</v>
      </c>
    </row>
    <row r="292" spans="1:3" x14ac:dyDescent="0.2">
      <c r="A292" s="163">
        <v>284</v>
      </c>
      <c r="B292" s="159" t="s">
        <v>166</v>
      </c>
      <c r="C292" s="162" t="s">
        <v>394</v>
      </c>
    </row>
    <row r="293" spans="1:3" x14ac:dyDescent="0.2">
      <c r="A293" s="163">
        <v>285</v>
      </c>
      <c r="B293" s="159" t="s">
        <v>166</v>
      </c>
      <c r="C293" s="162" t="s">
        <v>394</v>
      </c>
    </row>
    <row r="294" spans="1:3" x14ac:dyDescent="0.2">
      <c r="A294" s="163">
        <v>286</v>
      </c>
      <c r="B294" s="159" t="s">
        <v>225</v>
      </c>
      <c r="C294" s="162" t="s">
        <v>394</v>
      </c>
    </row>
    <row r="295" spans="1:3" x14ac:dyDescent="0.2">
      <c r="A295" s="163">
        <v>287</v>
      </c>
      <c r="B295" s="159" t="s">
        <v>226</v>
      </c>
      <c r="C295" s="162" t="s">
        <v>394</v>
      </c>
    </row>
    <row r="296" spans="1:3" x14ac:dyDescent="0.2">
      <c r="A296" s="163">
        <v>288</v>
      </c>
      <c r="B296" s="159" t="s">
        <v>227</v>
      </c>
      <c r="C296" s="162" t="s">
        <v>394</v>
      </c>
    </row>
    <row r="297" spans="1:3" x14ac:dyDescent="0.2">
      <c r="A297" s="163">
        <v>289</v>
      </c>
      <c r="B297" s="159" t="s">
        <v>227</v>
      </c>
      <c r="C297" s="162" t="s">
        <v>394</v>
      </c>
    </row>
    <row r="298" spans="1:3" x14ac:dyDescent="0.2">
      <c r="A298" s="163">
        <v>290</v>
      </c>
      <c r="B298" s="159" t="s">
        <v>227</v>
      </c>
      <c r="C298" s="162" t="s">
        <v>394</v>
      </c>
    </row>
    <row r="299" spans="1:3" x14ac:dyDescent="0.2">
      <c r="A299" s="163">
        <v>291</v>
      </c>
      <c r="B299" s="159" t="s">
        <v>227</v>
      </c>
      <c r="C299" s="162" t="s">
        <v>394</v>
      </c>
    </row>
    <row r="300" spans="1:3" x14ac:dyDescent="0.2">
      <c r="A300" s="163">
        <v>292</v>
      </c>
      <c r="B300" s="159" t="s">
        <v>227</v>
      </c>
      <c r="C300" s="162" t="s">
        <v>394</v>
      </c>
    </row>
    <row r="301" spans="1:3" x14ac:dyDescent="0.2">
      <c r="A301" s="163">
        <v>297</v>
      </c>
      <c r="B301" s="159" t="s">
        <v>227</v>
      </c>
      <c r="C301" s="162" t="s">
        <v>394</v>
      </c>
    </row>
    <row r="302" spans="1:3" x14ac:dyDescent="0.2">
      <c r="A302" s="163">
        <v>298</v>
      </c>
      <c r="B302" s="159" t="s">
        <v>227</v>
      </c>
      <c r="C302" s="162" t="s">
        <v>394</v>
      </c>
    </row>
    <row r="303" spans="1:3" x14ac:dyDescent="0.2">
      <c r="A303" s="163">
        <v>299</v>
      </c>
      <c r="B303" s="159" t="s">
        <v>227</v>
      </c>
      <c r="C303" s="162" t="s">
        <v>394</v>
      </c>
    </row>
    <row r="304" spans="1:3" x14ac:dyDescent="0.2">
      <c r="A304" s="163">
        <v>300</v>
      </c>
      <c r="B304" s="159" t="s">
        <v>228</v>
      </c>
      <c r="C304" s="162" t="s">
        <v>393</v>
      </c>
    </row>
    <row r="305" spans="1:3" x14ac:dyDescent="0.2">
      <c r="A305" s="163">
        <v>301</v>
      </c>
      <c r="B305" s="159" t="s">
        <v>229</v>
      </c>
      <c r="C305" s="162" t="s">
        <v>393</v>
      </c>
    </row>
    <row r="306" spans="1:3" x14ac:dyDescent="0.2">
      <c r="A306" s="163">
        <v>302</v>
      </c>
      <c r="B306" s="159" t="s">
        <v>230</v>
      </c>
      <c r="C306" s="162" t="s">
        <v>393</v>
      </c>
    </row>
    <row r="307" spans="1:3" x14ac:dyDescent="0.2">
      <c r="A307" s="163">
        <v>303</v>
      </c>
      <c r="B307" s="159" t="s">
        <v>227</v>
      </c>
      <c r="C307" s="162" t="s">
        <v>394</v>
      </c>
    </row>
    <row r="308" spans="1:3" x14ac:dyDescent="0.2">
      <c r="A308" s="163">
        <v>304</v>
      </c>
      <c r="B308" s="159" t="s">
        <v>227</v>
      </c>
      <c r="C308" s="162" t="s">
        <v>394</v>
      </c>
    </row>
    <row r="309" spans="1:3" x14ac:dyDescent="0.2">
      <c r="A309" s="163">
        <v>305</v>
      </c>
      <c r="B309" s="159" t="s">
        <v>231</v>
      </c>
      <c r="C309" s="162" t="s">
        <v>393</v>
      </c>
    </row>
    <row r="310" spans="1:3" x14ac:dyDescent="0.2">
      <c r="A310" s="163">
        <v>306</v>
      </c>
      <c r="B310" s="159" t="s">
        <v>231</v>
      </c>
      <c r="C310" s="162" t="s">
        <v>393</v>
      </c>
    </row>
    <row r="311" spans="1:3" x14ac:dyDescent="0.2">
      <c r="A311" s="163">
        <v>307</v>
      </c>
      <c r="B311" s="159" t="s">
        <v>231</v>
      </c>
      <c r="C311" s="162" t="s">
        <v>393</v>
      </c>
    </row>
    <row r="312" spans="1:3" x14ac:dyDescent="0.2">
      <c r="A312" s="163">
        <v>308</v>
      </c>
      <c r="B312" s="159" t="s">
        <v>231</v>
      </c>
      <c r="C312" s="162" t="s">
        <v>393</v>
      </c>
    </row>
    <row r="313" spans="1:3" x14ac:dyDescent="0.2">
      <c r="A313" s="163">
        <v>309</v>
      </c>
      <c r="B313" s="159" t="s">
        <v>232</v>
      </c>
      <c r="C313" s="162" t="s">
        <v>393</v>
      </c>
    </row>
    <row r="314" spans="1:3" x14ac:dyDescent="0.2">
      <c r="A314" s="163">
        <v>310</v>
      </c>
      <c r="B314" s="159" t="s">
        <v>233</v>
      </c>
      <c r="C314" s="162" t="s">
        <v>393</v>
      </c>
    </row>
    <row r="315" spans="1:3" x14ac:dyDescent="0.2">
      <c r="A315" s="163">
        <v>312</v>
      </c>
      <c r="B315" s="159" t="s">
        <v>234</v>
      </c>
      <c r="C315" s="162" t="s">
        <v>393</v>
      </c>
    </row>
    <row r="316" spans="1:3" x14ac:dyDescent="0.2">
      <c r="A316" s="163">
        <v>313</v>
      </c>
      <c r="B316" s="159" t="s">
        <v>235</v>
      </c>
      <c r="C316" s="162" t="s">
        <v>394</v>
      </c>
    </row>
    <row r="317" spans="1:3" x14ac:dyDescent="0.2">
      <c r="A317" s="163">
        <v>314</v>
      </c>
      <c r="B317" s="159" t="s">
        <v>236</v>
      </c>
      <c r="C317" s="162" t="s">
        <v>394</v>
      </c>
    </row>
    <row r="318" spans="1:3" x14ac:dyDescent="0.2">
      <c r="A318" s="163">
        <v>315</v>
      </c>
      <c r="B318" s="159" t="s">
        <v>237</v>
      </c>
      <c r="C318" s="162" t="s">
        <v>394</v>
      </c>
    </row>
    <row r="319" spans="1:3" x14ac:dyDescent="0.2">
      <c r="A319" s="163">
        <v>316</v>
      </c>
      <c r="B319" s="159" t="s">
        <v>238</v>
      </c>
      <c r="C319" s="162" t="s">
        <v>393</v>
      </c>
    </row>
    <row r="320" spans="1:3" x14ac:dyDescent="0.2">
      <c r="A320" s="163">
        <v>317</v>
      </c>
      <c r="B320" s="159" t="s">
        <v>238</v>
      </c>
      <c r="C320" s="162" t="s">
        <v>393</v>
      </c>
    </row>
    <row r="321" spans="1:3" x14ac:dyDescent="0.2">
      <c r="A321" s="163">
        <v>318</v>
      </c>
      <c r="B321" s="159" t="s">
        <v>238</v>
      </c>
      <c r="C321" s="162" t="s">
        <v>393</v>
      </c>
    </row>
    <row r="322" spans="1:3" x14ac:dyDescent="0.2">
      <c r="A322" s="163">
        <v>319</v>
      </c>
      <c r="B322" s="159" t="s">
        <v>239</v>
      </c>
      <c r="C322" s="162" t="s">
        <v>393</v>
      </c>
    </row>
    <row r="323" spans="1:3" x14ac:dyDescent="0.2">
      <c r="A323" s="163">
        <v>320</v>
      </c>
      <c r="B323" s="159" t="s">
        <v>238</v>
      </c>
      <c r="C323" s="162" t="s">
        <v>393</v>
      </c>
    </row>
    <row r="324" spans="1:3" x14ac:dyDescent="0.2">
      <c r="A324" s="163">
        <v>321</v>
      </c>
      <c r="B324" s="159" t="s">
        <v>238</v>
      </c>
      <c r="C324" s="162" t="s">
        <v>393</v>
      </c>
    </row>
    <row r="325" spans="1:3" x14ac:dyDescent="0.2">
      <c r="A325" s="163">
        <v>322</v>
      </c>
      <c r="B325" s="159" t="s">
        <v>238</v>
      </c>
      <c r="C325" s="162" t="s">
        <v>393</v>
      </c>
    </row>
    <row r="326" spans="1:3" x14ac:dyDescent="0.2">
      <c r="A326" s="163">
        <v>323</v>
      </c>
      <c r="B326" s="159" t="s">
        <v>238</v>
      </c>
      <c r="C326" s="162" t="s">
        <v>393</v>
      </c>
    </row>
    <row r="327" spans="1:3" x14ac:dyDescent="0.2">
      <c r="A327" s="163">
        <v>324</v>
      </c>
      <c r="B327" s="159" t="s">
        <v>240</v>
      </c>
      <c r="C327" s="162" t="s">
        <v>393</v>
      </c>
    </row>
    <row r="328" spans="1:3" x14ac:dyDescent="0.2">
      <c r="A328" s="163">
        <v>325</v>
      </c>
      <c r="B328" s="159" t="s">
        <v>241</v>
      </c>
      <c r="C328" s="162" t="s">
        <v>393</v>
      </c>
    </row>
    <row r="329" spans="1:3" x14ac:dyDescent="0.2">
      <c r="A329" s="163">
        <v>326</v>
      </c>
      <c r="B329" s="159" t="s">
        <v>241</v>
      </c>
      <c r="C329" s="162" t="s">
        <v>393</v>
      </c>
    </row>
    <row r="330" spans="1:3" x14ac:dyDescent="0.2">
      <c r="A330" s="163">
        <v>327</v>
      </c>
      <c r="B330" s="159" t="s">
        <v>241</v>
      </c>
      <c r="C330" s="162" t="s">
        <v>393</v>
      </c>
    </row>
    <row r="331" spans="1:3" x14ac:dyDescent="0.2">
      <c r="A331" s="163">
        <v>328</v>
      </c>
      <c r="B331" s="159" t="s">
        <v>241</v>
      </c>
      <c r="C331" s="162" t="s">
        <v>393</v>
      </c>
    </row>
    <row r="332" spans="1:3" x14ac:dyDescent="0.2">
      <c r="A332" s="163">
        <v>329</v>
      </c>
      <c r="B332" s="159" t="s">
        <v>241</v>
      </c>
      <c r="C332" s="162" t="s">
        <v>393</v>
      </c>
    </row>
    <row r="333" spans="1:3" x14ac:dyDescent="0.2">
      <c r="A333" s="163">
        <v>330</v>
      </c>
      <c r="B333" s="159" t="s">
        <v>241</v>
      </c>
      <c r="C333" s="162" t="s">
        <v>393</v>
      </c>
    </row>
    <row r="334" spans="1:3" x14ac:dyDescent="0.2">
      <c r="A334" s="163">
        <v>331</v>
      </c>
      <c r="B334" s="159" t="s">
        <v>241</v>
      </c>
      <c r="C334" s="162" t="s">
        <v>393</v>
      </c>
    </row>
    <row r="335" spans="1:3" x14ac:dyDescent="0.2">
      <c r="A335" s="163">
        <v>332</v>
      </c>
      <c r="B335" s="159" t="s">
        <v>241</v>
      </c>
      <c r="C335" s="162" t="s">
        <v>394</v>
      </c>
    </row>
    <row r="336" spans="1:3" x14ac:dyDescent="0.2">
      <c r="A336" s="163">
        <v>334</v>
      </c>
      <c r="B336" s="159" t="s">
        <v>242</v>
      </c>
      <c r="C336" s="162" t="s">
        <v>393</v>
      </c>
    </row>
    <row r="337" spans="1:3" x14ac:dyDescent="0.2">
      <c r="A337" s="163">
        <v>335</v>
      </c>
      <c r="B337" s="159" t="s">
        <v>243</v>
      </c>
      <c r="C337" s="162" t="s">
        <v>393</v>
      </c>
    </row>
    <row r="338" spans="1:3" x14ac:dyDescent="0.2">
      <c r="A338" s="163">
        <v>336</v>
      </c>
      <c r="B338" s="159" t="s">
        <v>244</v>
      </c>
      <c r="C338" s="162" t="s">
        <v>394</v>
      </c>
    </row>
    <row r="339" spans="1:3" x14ac:dyDescent="0.2">
      <c r="A339" s="163">
        <v>337</v>
      </c>
      <c r="B339" s="159" t="s">
        <v>244</v>
      </c>
      <c r="C339" s="162" t="s">
        <v>394</v>
      </c>
    </row>
    <row r="340" spans="1:3" x14ac:dyDescent="0.2">
      <c r="A340" s="163">
        <v>338</v>
      </c>
      <c r="B340" s="159" t="s">
        <v>245</v>
      </c>
      <c r="C340" s="162" t="s">
        <v>393</v>
      </c>
    </row>
    <row r="341" spans="1:3" x14ac:dyDescent="0.2">
      <c r="A341" s="163">
        <v>339</v>
      </c>
      <c r="B341" s="159" t="s">
        <v>246</v>
      </c>
      <c r="C341" s="162" t="s">
        <v>394</v>
      </c>
    </row>
    <row r="342" spans="1:3" x14ac:dyDescent="0.2">
      <c r="A342" s="163">
        <v>340</v>
      </c>
      <c r="B342" s="159" t="s">
        <v>246</v>
      </c>
      <c r="C342" s="162" t="s">
        <v>394</v>
      </c>
    </row>
    <row r="343" spans="1:3" x14ac:dyDescent="0.2">
      <c r="A343" s="163">
        <v>341</v>
      </c>
      <c r="B343" s="159" t="s">
        <v>246</v>
      </c>
      <c r="C343" s="162" t="s">
        <v>394</v>
      </c>
    </row>
    <row r="344" spans="1:3" x14ac:dyDescent="0.2">
      <c r="A344" s="163">
        <v>342</v>
      </c>
      <c r="B344" s="159" t="s">
        <v>247</v>
      </c>
      <c r="C344" s="162" t="s">
        <v>393</v>
      </c>
    </row>
    <row r="345" spans="1:3" x14ac:dyDescent="0.2">
      <c r="A345" s="163">
        <v>343</v>
      </c>
      <c r="B345" s="159" t="s">
        <v>248</v>
      </c>
      <c r="C345" s="162" t="s">
        <v>393</v>
      </c>
    </row>
    <row r="346" spans="1:3" x14ac:dyDescent="0.2">
      <c r="A346" s="163">
        <v>344</v>
      </c>
      <c r="B346" s="159" t="s">
        <v>249</v>
      </c>
      <c r="C346" s="162" t="s">
        <v>393</v>
      </c>
    </row>
    <row r="347" spans="1:3" x14ac:dyDescent="0.2">
      <c r="A347" s="163">
        <v>344</v>
      </c>
      <c r="B347" s="159" t="s">
        <v>249</v>
      </c>
      <c r="C347" s="162" t="s">
        <v>394</v>
      </c>
    </row>
    <row r="348" spans="1:3" x14ac:dyDescent="0.2">
      <c r="A348" s="163">
        <v>345</v>
      </c>
      <c r="B348" s="159" t="s">
        <v>250</v>
      </c>
      <c r="C348" s="162" t="s">
        <v>393</v>
      </c>
    </row>
    <row r="349" spans="1:3" x14ac:dyDescent="0.2">
      <c r="A349" s="163">
        <v>346</v>
      </c>
      <c r="B349" s="159" t="s">
        <v>251</v>
      </c>
      <c r="C349" s="162" t="s">
        <v>394</v>
      </c>
    </row>
    <row r="350" spans="1:3" x14ac:dyDescent="0.2">
      <c r="A350" s="163">
        <v>347</v>
      </c>
      <c r="B350" s="159" t="s">
        <v>252</v>
      </c>
      <c r="C350" s="162" t="s">
        <v>394</v>
      </c>
    </row>
    <row r="351" spans="1:3" x14ac:dyDescent="0.2">
      <c r="A351" s="163">
        <v>348</v>
      </c>
      <c r="B351" s="159" t="s">
        <v>252</v>
      </c>
      <c r="C351" s="162" t="s">
        <v>394</v>
      </c>
    </row>
    <row r="352" spans="1:3" x14ac:dyDescent="0.2">
      <c r="A352" s="163">
        <v>349</v>
      </c>
      <c r="B352" s="159" t="s">
        <v>198</v>
      </c>
      <c r="C352" s="162" t="s">
        <v>393</v>
      </c>
    </row>
    <row r="353" spans="1:3" x14ac:dyDescent="0.2">
      <c r="A353" s="163">
        <v>350</v>
      </c>
      <c r="B353" s="159" t="s">
        <v>253</v>
      </c>
      <c r="C353" s="162" t="s">
        <v>394</v>
      </c>
    </row>
    <row r="354" spans="1:3" x14ac:dyDescent="0.2">
      <c r="A354" s="163">
        <v>351</v>
      </c>
      <c r="B354" s="159" t="s">
        <v>254</v>
      </c>
      <c r="C354" s="162" t="s">
        <v>393</v>
      </c>
    </row>
    <row r="355" spans="1:3" x14ac:dyDescent="0.2">
      <c r="A355" s="163">
        <v>352</v>
      </c>
      <c r="B355" s="159" t="s">
        <v>255</v>
      </c>
      <c r="C355" s="162" t="s">
        <v>393</v>
      </c>
    </row>
    <row r="356" spans="1:3" x14ac:dyDescent="0.2">
      <c r="A356" s="163">
        <v>353</v>
      </c>
      <c r="B356" s="159" t="s">
        <v>256</v>
      </c>
      <c r="C356" s="162" t="s">
        <v>393</v>
      </c>
    </row>
    <row r="357" spans="1:3" x14ac:dyDescent="0.2">
      <c r="A357" s="163">
        <v>354</v>
      </c>
      <c r="B357" s="159" t="s">
        <v>173</v>
      </c>
      <c r="C357" s="162" t="s">
        <v>394</v>
      </c>
    </row>
    <row r="358" spans="1:3" x14ac:dyDescent="0.2">
      <c r="A358" s="163">
        <v>355</v>
      </c>
      <c r="B358" s="159" t="s">
        <v>257</v>
      </c>
      <c r="C358" s="162" t="s">
        <v>393</v>
      </c>
    </row>
    <row r="359" spans="1:3" x14ac:dyDescent="0.2">
      <c r="A359" s="163">
        <v>357</v>
      </c>
      <c r="B359" s="159" t="s">
        <v>258</v>
      </c>
      <c r="C359" s="162" t="s">
        <v>394</v>
      </c>
    </row>
    <row r="360" spans="1:3" x14ac:dyDescent="0.2">
      <c r="A360" s="163">
        <v>358</v>
      </c>
      <c r="B360" s="159" t="s">
        <v>258</v>
      </c>
      <c r="C360" s="162" t="s">
        <v>394</v>
      </c>
    </row>
    <row r="361" spans="1:3" x14ac:dyDescent="0.2">
      <c r="A361" s="163">
        <v>359</v>
      </c>
      <c r="B361" s="159" t="s">
        <v>258</v>
      </c>
      <c r="C361" s="162" t="s">
        <v>394</v>
      </c>
    </row>
    <row r="362" spans="1:3" x14ac:dyDescent="0.2">
      <c r="A362" s="163">
        <v>360</v>
      </c>
      <c r="B362" s="159" t="s">
        <v>258</v>
      </c>
      <c r="C362" s="162" t="s">
        <v>394</v>
      </c>
    </row>
    <row r="363" spans="1:3" x14ac:dyDescent="0.2">
      <c r="A363" s="163">
        <v>361</v>
      </c>
      <c r="B363" s="159" t="s">
        <v>258</v>
      </c>
      <c r="C363" s="162" t="s">
        <v>394</v>
      </c>
    </row>
    <row r="364" spans="1:3" x14ac:dyDescent="0.2">
      <c r="A364" s="163">
        <v>362</v>
      </c>
      <c r="B364" s="159" t="s">
        <v>258</v>
      </c>
      <c r="C364" s="162" t="s">
        <v>394</v>
      </c>
    </row>
    <row r="365" spans="1:3" x14ac:dyDescent="0.2">
      <c r="A365" s="163">
        <v>363</v>
      </c>
      <c r="B365" s="159" t="s">
        <v>258</v>
      </c>
      <c r="C365" s="162" t="s">
        <v>394</v>
      </c>
    </row>
    <row r="366" spans="1:3" x14ac:dyDescent="0.2">
      <c r="A366" s="163">
        <v>364</v>
      </c>
      <c r="B366" s="159" t="s">
        <v>258</v>
      </c>
      <c r="C366" s="162" t="s">
        <v>394</v>
      </c>
    </row>
    <row r="367" spans="1:3" x14ac:dyDescent="0.2">
      <c r="A367" s="163">
        <v>365</v>
      </c>
      <c r="B367" s="159" t="s">
        <v>258</v>
      </c>
      <c r="C367" s="162" t="s">
        <v>394</v>
      </c>
    </row>
    <row r="368" spans="1:3" x14ac:dyDescent="0.2">
      <c r="A368" s="163">
        <v>366</v>
      </c>
      <c r="B368" s="159" t="s">
        <v>258</v>
      </c>
      <c r="C368" s="162" t="s">
        <v>394</v>
      </c>
    </row>
    <row r="369" spans="1:3" x14ac:dyDescent="0.2">
      <c r="A369" s="163">
        <v>367</v>
      </c>
      <c r="B369" s="159" t="s">
        <v>258</v>
      </c>
      <c r="C369" s="162" t="s">
        <v>394</v>
      </c>
    </row>
    <row r="370" spans="1:3" x14ac:dyDescent="0.2">
      <c r="A370" s="163">
        <v>368</v>
      </c>
      <c r="B370" s="159" t="s">
        <v>258</v>
      </c>
      <c r="C370" s="162" t="s">
        <v>394</v>
      </c>
    </row>
    <row r="371" spans="1:3" x14ac:dyDescent="0.2">
      <c r="A371" s="163">
        <v>369</v>
      </c>
      <c r="B371" s="159" t="s">
        <v>258</v>
      </c>
      <c r="C371" s="162" t="s">
        <v>394</v>
      </c>
    </row>
    <row r="372" spans="1:3" x14ac:dyDescent="0.2">
      <c r="A372" s="163">
        <v>370</v>
      </c>
      <c r="B372" s="159" t="s">
        <v>258</v>
      </c>
      <c r="C372" s="162" t="s">
        <v>394</v>
      </c>
    </row>
    <row r="373" spans="1:3" x14ac:dyDescent="0.2">
      <c r="A373" s="163">
        <v>371</v>
      </c>
      <c r="B373" s="159" t="s">
        <v>258</v>
      </c>
      <c r="C373" s="162" t="s">
        <v>394</v>
      </c>
    </row>
    <row r="374" spans="1:3" x14ac:dyDescent="0.2">
      <c r="A374" s="163">
        <v>372</v>
      </c>
      <c r="B374" s="159" t="s">
        <v>238</v>
      </c>
      <c r="C374" s="162" t="s">
        <v>393</v>
      </c>
    </row>
    <row r="375" spans="1:3" x14ac:dyDescent="0.2">
      <c r="A375" s="163">
        <v>373</v>
      </c>
      <c r="B375" s="159" t="s">
        <v>186</v>
      </c>
      <c r="C375" s="162" t="s">
        <v>393</v>
      </c>
    </row>
    <row r="376" spans="1:3" x14ac:dyDescent="0.2">
      <c r="A376" s="163">
        <v>374</v>
      </c>
      <c r="B376" s="159" t="s">
        <v>186</v>
      </c>
      <c r="C376" s="162" t="s">
        <v>393</v>
      </c>
    </row>
    <row r="377" spans="1:3" x14ac:dyDescent="0.2">
      <c r="A377" s="163">
        <v>375</v>
      </c>
      <c r="B377" s="159" t="s">
        <v>186</v>
      </c>
      <c r="C377" s="162" t="s">
        <v>393</v>
      </c>
    </row>
    <row r="378" spans="1:3" x14ac:dyDescent="0.2">
      <c r="A378" s="163">
        <v>376</v>
      </c>
      <c r="B378" s="159" t="s">
        <v>186</v>
      </c>
      <c r="C378" s="162" t="s">
        <v>393</v>
      </c>
    </row>
    <row r="379" spans="1:3" x14ac:dyDescent="0.2">
      <c r="A379" s="163">
        <v>377</v>
      </c>
      <c r="B379" s="159" t="s">
        <v>186</v>
      </c>
      <c r="C379" s="162" t="s">
        <v>393</v>
      </c>
    </row>
    <row r="380" spans="1:3" x14ac:dyDescent="0.2">
      <c r="A380" s="163">
        <v>378</v>
      </c>
      <c r="B380" s="159" t="s">
        <v>186</v>
      </c>
      <c r="C380" s="162" t="s">
        <v>393</v>
      </c>
    </row>
    <row r="381" spans="1:3" x14ac:dyDescent="0.2">
      <c r="A381" s="163">
        <v>380</v>
      </c>
      <c r="B381" s="159" t="s">
        <v>186</v>
      </c>
      <c r="C381" s="162" t="s">
        <v>393</v>
      </c>
    </row>
    <row r="382" spans="1:3" x14ac:dyDescent="0.2">
      <c r="A382" s="163">
        <v>381</v>
      </c>
      <c r="B382" s="159" t="s">
        <v>186</v>
      </c>
      <c r="C382" s="162" t="s">
        <v>393</v>
      </c>
    </row>
    <row r="383" spans="1:3" x14ac:dyDescent="0.2">
      <c r="A383" s="163">
        <v>382</v>
      </c>
      <c r="B383" s="159" t="s">
        <v>186</v>
      </c>
      <c r="C383" s="162" t="s">
        <v>393</v>
      </c>
    </row>
    <row r="384" spans="1:3" x14ac:dyDescent="0.2">
      <c r="A384" s="163">
        <v>384</v>
      </c>
      <c r="B384" s="159" t="s">
        <v>198</v>
      </c>
      <c r="C384" s="162" t="s">
        <v>393</v>
      </c>
    </row>
    <row r="385" spans="1:3" x14ac:dyDescent="0.2">
      <c r="A385" s="163">
        <v>385</v>
      </c>
      <c r="B385" s="159" t="s">
        <v>186</v>
      </c>
      <c r="C385" s="162" t="s">
        <v>394</v>
      </c>
    </row>
    <row r="386" spans="1:3" x14ac:dyDescent="0.2">
      <c r="A386" s="163">
        <v>386</v>
      </c>
      <c r="B386" s="159" t="s">
        <v>166</v>
      </c>
      <c r="C386" s="162" t="s">
        <v>394</v>
      </c>
    </row>
    <row r="387" spans="1:3" x14ac:dyDescent="0.2">
      <c r="A387" s="163">
        <v>387</v>
      </c>
      <c r="B387" s="159" t="s">
        <v>191</v>
      </c>
      <c r="C387" s="162" t="s">
        <v>394</v>
      </c>
    </row>
    <row r="388" spans="1:3" x14ac:dyDescent="0.2">
      <c r="A388" s="163">
        <v>388</v>
      </c>
      <c r="B388" s="159" t="s">
        <v>186</v>
      </c>
      <c r="C388" s="162" t="s">
        <v>394</v>
      </c>
    </row>
    <row r="389" spans="1:3" x14ac:dyDescent="0.2">
      <c r="A389" s="163">
        <v>389</v>
      </c>
      <c r="B389" s="159" t="s">
        <v>177</v>
      </c>
      <c r="C389" s="162" t="s">
        <v>394</v>
      </c>
    </row>
    <row r="390" spans="1:3" x14ac:dyDescent="0.2">
      <c r="A390" s="163">
        <v>390</v>
      </c>
      <c r="B390" s="159" t="s">
        <v>186</v>
      </c>
      <c r="C390" s="162" t="s">
        <v>393</v>
      </c>
    </row>
    <row r="391" spans="1:3" x14ac:dyDescent="0.2">
      <c r="A391" s="163">
        <v>391</v>
      </c>
      <c r="B391" s="159" t="s">
        <v>259</v>
      </c>
      <c r="C391" s="162" t="s">
        <v>394</v>
      </c>
    </row>
    <row r="392" spans="1:3" x14ac:dyDescent="0.2">
      <c r="A392" s="163">
        <v>392</v>
      </c>
      <c r="B392" s="159" t="s">
        <v>260</v>
      </c>
      <c r="C392" s="162" t="s">
        <v>393</v>
      </c>
    </row>
    <row r="393" spans="1:3" x14ac:dyDescent="0.2">
      <c r="A393" s="163">
        <v>393</v>
      </c>
      <c r="B393" s="159" t="s">
        <v>261</v>
      </c>
      <c r="C393" s="162" t="s">
        <v>393</v>
      </c>
    </row>
    <row r="394" spans="1:3" x14ac:dyDescent="0.2">
      <c r="A394" s="163">
        <v>394</v>
      </c>
      <c r="B394" s="159" t="s">
        <v>217</v>
      </c>
      <c r="C394" s="162" t="s">
        <v>393</v>
      </c>
    </row>
    <row r="395" spans="1:3" x14ac:dyDescent="0.2">
      <c r="A395" s="163">
        <v>395</v>
      </c>
      <c r="B395" s="159" t="s">
        <v>262</v>
      </c>
      <c r="C395" s="162" t="s">
        <v>393</v>
      </c>
    </row>
    <row r="396" spans="1:3" x14ac:dyDescent="0.2">
      <c r="A396" s="163">
        <v>396</v>
      </c>
      <c r="B396" s="159" t="s">
        <v>196</v>
      </c>
      <c r="C396" s="162" t="s">
        <v>393</v>
      </c>
    </row>
    <row r="397" spans="1:3" x14ac:dyDescent="0.2">
      <c r="A397" s="163">
        <v>397</v>
      </c>
      <c r="B397" s="159" t="s">
        <v>263</v>
      </c>
      <c r="C397" s="162" t="s">
        <v>393</v>
      </c>
    </row>
    <row r="398" spans="1:3" x14ac:dyDescent="0.2">
      <c r="A398" s="163">
        <v>398</v>
      </c>
      <c r="B398" s="159" t="s">
        <v>264</v>
      </c>
      <c r="C398" s="162" t="s">
        <v>393</v>
      </c>
    </row>
    <row r="399" spans="1:3" x14ac:dyDescent="0.2">
      <c r="A399" s="163">
        <v>399</v>
      </c>
      <c r="B399" s="159" t="s">
        <v>265</v>
      </c>
      <c r="C399" s="162" t="s">
        <v>394</v>
      </c>
    </row>
    <row r="400" spans="1:3" x14ac:dyDescent="0.2">
      <c r="A400" s="163">
        <v>400</v>
      </c>
      <c r="B400" s="159" t="s">
        <v>216</v>
      </c>
      <c r="C400" s="162" t="s">
        <v>393</v>
      </c>
    </row>
    <row r="401" spans="1:3" x14ac:dyDescent="0.2">
      <c r="A401" s="163">
        <v>401</v>
      </c>
      <c r="B401" s="159" t="s">
        <v>266</v>
      </c>
      <c r="C401" s="162" t="s">
        <v>394</v>
      </c>
    </row>
    <row r="402" spans="1:3" x14ac:dyDescent="0.2">
      <c r="A402" s="163">
        <v>403</v>
      </c>
      <c r="B402" s="159" t="s">
        <v>172</v>
      </c>
      <c r="C402" s="162" t="s">
        <v>393</v>
      </c>
    </row>
    <row r="403" spans="1:3" x14ac:dyDescent="0.2">
      <c r="A403" s="163">
        <v>404</v>
      </c>
      <c r="B403" s="159" t="s">
        <v>267</v>
      </c>
      <c r="C403" s="162" t="s">
        <v>393</v>
      </c>
    </row>
    <row r="404" spans="1:3" x14ac:dyDescent="0.2">
      <c r="A404" s="163">
        <v>405</v>
      </c>
      <c r="B404" s="159" t="s">
        <v>268</v>
      </c>
      <c r="C404" s="162" t="s">
        <v>394</v>
      </c>
    </row>
    <row r="405" spans="1:3" x14ac:dyDescent="0.2">
      <c r="A405" s="163">
        <v>406</v>
      </c>
      <c r="B405" s="159" t="s">
        <v>269</v>
      </c>
      <c r="C405" s="162" t="s">
        <v>394</v>
      </c>
    </row>
    <row r="406" spans="1:3" x14ac:dyDescent="0.2">
      <c r="A406" s="163">
        <v>407</v>
      </c>
      <c r="B406" s="159" t="s">
        <v>270</v>
      </c>
      <c r="C406" s="162" t="s">
        <v>394</v>
      </c>
    </row>
    <row r="407" spans="1:3" x14ac:dyDescent="0.2">
      <c r="A407" s="163">
        <v>408</v>
      </c>
      <c r="B407" s="159" t="s">
        <v>271</v>
      </c>
      <c r="C407" s="162" t="s">
        <v>394</v>
      </c>
    </row>
    <row r="408" spans="1:3" x14ac:dyDescent="0.2">
      <c r="A408" s="163">
        <v>409</v>
      </c>
      <c r="B408" s="159" t="s">
        <v>272</v>
      </c>
      <c r="C408" s="162" t="s">
        <v>394</v>
      </c>
    </row>
    <row r="409" spans="1:3" x14ac:dyDescent="0.2">
      <c r="A409" s="163">
        <v>410</v>
      </c>
      <c r="B409" s="159" t="s">
        <v>273</v>
      </c>
      <c r="C409" s="162" t="s">
        <v>394</v>
      </c>
    </row>
    <row r="410" spans="1:3" x14ac:dyDescent="0.2">
      <c r="A410" s="163">
        <v>411</v>
      </c>
      <c r="B410" s="159" t="s">
        <v>274</v>
      </c>
      <c r="C410" s="162" t="s">
        <v>394</v>
      </c>
    </row>
    <row r="411" spans="1:3" x14ac:dyDescent="0.2">
      <c r="A411" s="163">
        <v>412</v>
      </c>
      <c r="B411" s="159" t="s">
        <v>275</v>
      </c>
      <c r="C411" s="162" t="s">
        <v>394</v>
      </c>
    </row>
    <row r="412" spans="1:3" x14ac:dyDescent="0.2">
      <c r="A412" s="163">
        <v>413</v>
      </c>
      <c r="B412" s="159" t="s">
        <v>276</v>
      </c>
      <c r="C412" s="162" t="s">
        <v>394</v>
      </c>
    </row>
    <row r="413" spans="1:3" x14ac:dyDescent="0.2">
      <c r="A413" s="163">
        <v>414</v>
      </c>
      <c r="B413" s="159" t="s">
        <v>277</v>
      </c>
      <c r="C413" s="162" t="s">
        <v>394</v>
      </c>
    </row>
    <row r="414" spans="1:3" x14ac:dyDescent="0.2">
      <c r="A414" s="163">
        <v>415</v>
      </c>
      <c r="B414" s="159" t="s">
        <v>278</v>
      </c>
      <c r="C414" s="162" t="s">
        <v>394</v>
      </c>
    </row>
    <row r="415" spans="1:3" x14ac:dyDescent="0.2">
      <c r="A415" s="163">
        <v>416</v>
      </c>
      <c r="B415" s="159" t="s">
        <v>279</v>
      </c>
      <c r="C415" s="162" t="s">
        <v>394</v>
      </c>
    </row>
    <row r="416" spans="1:3" x14ac:dyDescent="0.2">
      <c r="A416" s="163">
        <v>417</v>
      </c>
      <c r="B416" s="159" t="s">
        <v>280</v>
      </c>
      <c r="C416" s="162" t="s">
        <v>394</v>
      </c>
    </row>
    <row r="417" spans="1:3" x14ac:dyDescent="0.2">
      <c r="A417" s="163">
        <v>418</v>
      </c>
      <c r="B417" s="159" t="s">
        <v>281</v>
      </c>
      <c r="C417" s="162" t="s">
        <v>394</v>
      </c>
    </row>
    <row r="418" spans="1:3" x14ac:dyDescent="0.2">
      <c r="A418" s="163">
        <v>419</v>
      </c>
      <c r="B418" s="159" t="s">
        <v>282</v>
      </c>
      <c r="C418" s="162" t="s">
        <v>394</v>
      </c>
    </row>
    <row r="419" spans="1:3" x14ac:dyDescent="0.2">
      <c r="A419" s="163">
        <v>420</v>
      </c>
      <c r="B419" s="159" t="s">
        <v>283</v>
      </c>
      <c r="C419" s="162" t="s">
        <v>394</v>
      </c>
    </row>
    <row r="420" spans="1:3" x14ac:dyDescent="0.2">
      <c r="A420" s="163">
        <v>421</v>
      </c>
      <c r="B420" s="159" t="s">
        <v>284</v>
      </c>
      <c r="C420" s="162" t="s">
        <v>394</v>
      </c>
    </row>
    <row r="421" spans="1:3" x14ac:dyDescent="0.2">
      <c r="A421" s="163">
        <v>422</v>
      </c>
      <c r="B421" s="159" t="s">
        <v>285</v>
      </c>
      <c r="C421" s="162" t="s">
        <v>394</v>
      </c>
    </row>
    <row r="422" spans="1:3" x14ac:dyDescent="0.2">
      <c r="A422" s="163">
        <v>423</v>
      </c>
      <c r="B422" s="159" t="s">
        <v>286</v>
      </c>
      <c r="C422" s="162" t="s">
        <v>394</v>
      </c>
    </row>
    <row r="423" spans="1:3" x14ac:dyDescent="0.2">
      <c r="A423" s="163">
        <v>424</v>
      </c>
      <c r="B423" s="159" t="s">
        <v>287</v>
      </c>
      <c r="C423" s="162" t="s">
        <v>394</v>
      </c>
    </row>
    <row r="424" spans="1:3" x14ac:dyDescent="0.2">
      <c r="A424" s="163">
        <v>425</v>
      </c>
      <c r="B424" s="159" t="s">
        <v>288</v>
      </c>
      <c r="C424" s="162" t="s">
        <v>393</v>
      </c>
    </row>
    <row r="425" spans="1:3" x14ac:dyDescent="0.2">
      <c r="A425" s="163">
        <v>426</v>
      </c>
      <c r="B425" s="159" t="s">
        <v>198</v>
      </c>
      <c r="C425" s="162" t="s">
        <v>393</v>
      </c>
    </row>
    <row r="426" spans="1:3" x14ac:dyDescent="0.2">
      <c r="A426" s="163">
        <v>427</v>
      </c>
      <c r="B426" s="159" t="s">
        <v>289</v>
      </c>
      <c r="C426" s="162" t="s">
        <v>393</v>
      </c>
    </row>
    <row r="427" spans="1:3" x14ac:dyDescent="0.2">
      <c r="A427" s="163">
        <v>428</v>
      </c>
      <c r="B427" s="159" t="s">
        <v>290</v>
      </c>
      <c r="C427" s="162" t="s">
        <v>389</v>
      </c>
    </row>
    <row r="428" spans="1:3" x14ac:dyDescent="0.2">
      <c r="A428" s="163">
        <v>429</v>
      </c>
      <c r="B428" s="159" t="s">
        <v>291</v>
      </c>
      <c r="C428" s="162" t="s">
        <v>389</v>
      </c>
    </row>
    <row r="429" spans="1:3" x14ac:dyDescent="0.2">
      <c r="A429" s="163">
        <v>430</v>
      </c>
      <c r="B429" s="159" t="s">
        <v>292</v>
      </c>
      <c r="C429" s="162" t="s">
        <v>389</v>
      </c>
    </row>
    <row r="430" spans="1:3" x14ac:dyDescent="0.2">
      <c r="A430" s="163">
        <v>431</v>
      </c>
      <c r="B430" s="159" t="s">
        <v>293</v>
      </c>
      <c r="C430" s="162" t="s">
        <v>389</v>
      </c>
    </row>
    <row r="431" spans="1:3" x14ac:dyDescent="0.2">
      <c r="A431" s="163">
        <v>432</v>
      </c>
      <c r="B431" s="159" t="s">
        <v>198</v>
      </c>
      <c r="C431" s="162" t="s">
        <v>393</v>
      </c>
    </row>
    <row r="432" spans="1:3" x14ac:dyDescent="0.2">
      <c r="A432" s="163">
        <v>434</v>
      </c>
      <c r="B432" s="159" t="s">
        <v>294</v>
      </c>
      <c r="C432" s="162" t="s">
        <v>394</v>
      </c>
    </row>
    <row r="433" spans="1:3" x14ac:dyDescent="0.2">
      <c r="A433" s="163">
        <v>435</v>
      </c>
      <c r="B433" s="159" t="s">
        <v>295</v>
      </c>
      <c r="C433" s="162" t="s">
        <v>393</v>
      </c>
    </row>
    <row r="434" spans="1:3" x14ac:dyDescent="0.2">
      <c r="A434" s="163">
        <v>436</v>
      </c>
      <c r="B434" s="159" t="s">
        <v>296</v>
      </c>
      <c r="C434" s="162" t="s">
        <v>393</v>
      </c>
    </row>
    <row r="435" spans="1:3" x14ac:dyDescent="0.2">
      <c r="A435" s="163">
        <v>437</v>
      </c>
      <c r="B435" s="159" t="s">
        <v>297</v>
      </c>
      <c r="C435" s="162" t="s">
        <v>393</v>
      </c>
    </row>
    <row r="436" spans="1:3" x14ac:dyDescent="0.2">
      <c r="A436" s="163">
        <v>439</v>
      </c>
      <c r="B436" s="159" t="s">
        <v>298</v>
      </c>
      <c r="C436" s="162" t="s">
        <v>393</v>
      </c>
    </row>
    <row r="437" spans="1:3" x14ac:dyDescent="0.2">
      <c r="A437" s="163">
        <v>440</v>
      </c>
      <c r="B437" s="159" t="s">
        <v>299</v>
      </c>
      <c r="C437" s="162" t="s">
        <v>393</v>
      </c>
    </row>
    <row r="438" spans="1:3" x14ac:dyDescent="0.2">
      <c r="A438" s="163">
        <v>441</v>
      </c>
      <c r="B438" s="159" t="s">
        <v>202</v>
      </c>
      <c r="C438" s="162" t="s">
        <v>393</v>
      </c>
    </row>
    <row r="439" spans="1:3" x14ac:dyDescent="0.2">
      <c r="A439" s="163">
        <v>442</v>
      </c>
      <c r="B439" s="159" t="s">
        <v>198</v>
      </c>
      <c r="C439" s="162" t="s">
        <v>394</v>
      </c>
    </row>
    <row r="440" spans="1:3" x14ac:dyDescent="0.2">
      <c r="A440" s="163">
        <v>443</v>
      </c>
      <c r="B440" s="159" t="s">
        <v>238</v>
      </c>
      <c r="C440" s="162" t="s">
        <v>393</v>
      </c>
    </row>
    <row r="441" spans="1:3" x14ac:dyDescent="0.2">
      <c r="A441" s="163">
        <v>444</v>
      </c>
      <c r="B441" s="159" t="s">
        <v>241</v>
      </c>
      <c r="C441" s="162" t="s">
        <v>393</v>
      </c>
    </row>
    <row r="442" spans="1:3" x14ac:dyDescent="0.2">
      <c r="A442" s="163">
        <v>444</v>
      </c>
      <c r="B442" s="159" t="s">
        <v>241</v>
      </c>
      <c r="C442" s="162" t="s">
        <v>394</v>
      </c>
    </row>
    <row r="443" spans="1:3" x14ac:dyDescent="0.2">
      <c r="A443" s="163">
        <v>445</v>
      </c>
      <c r="B443" s="159" t="s">
        <v>300</v>
      </c>
      <c r="C443" s="162" t="s">
        <v>393</v>
      </c>
    </row>
    <row r="444" spans="1:3" x14ac:dyDescent="0.2">
      <c r="A444" s="163">
        <v>446</v>
      </c>
      <c r="B444" s="159" t="s">
        <v>300</v>
      </c>
      <c r="C444" s="162" t="s">
        <v>393</v>
      </c>
    </row>
    <row r="445" spans="1:3" x14ac:dyDescent="0.2">
      <c r="A445" s="163">
        <v>447</v>
      </c>
      <c r="B445" s="159" t="s">
        <v>212</v>
      </c>
      <c r="C445" s="162" t="s">
        <v>393</v>
      </c>
    </row>
    <row r="446" spans="1:3" x14ac:dyDescent="0.2">
      <c r="A446" s="163">
        <v>448</v>
      </c>
      <c r="B446" s="159" t="s">
        <v>212</v>
      </c>
      <c r="C446" s="162" t="s">
        <v>393</v>
      </c>
    </row>
    <row r="447" spans="1:3" x14ac:dyDescent="0.2">
      <c r="A447" s="163">
        <v>449</v>
      </c>
      <c r="B447" s="159" t="s">
        <v>212</v>
      </c>
      <c r="C447" s="162" t="s">
        <v>393</v>
      </c>
    </row>
    <row r="448" spans="1:3" x14ac:dyDescent="0.2">
      <c r="A448" s="163">
        <v>450</v>
      </c>
      <c r="B448" s="159" t="s">
        <v>212</v>
      </c>
      <c r="C448" s="162" t="s">
        <v>393</v>
      </c>
    </row>
    <row r="449" spans="1:3" x14ac:dyDescent="0.2">
      <c r="A449" s="163">
        <v>451</v>
      </c>
      <c r="B449" s="159" t="s">
        <v>212</v>
      </c>
      <c r="C449" s="162" t="s">
        <v>393</v>
      </c>
    </row>
    <row r="450" spans="1:3" x14ac:dyDescent="0.2">
      <c r="A450" s="163">
        <v>452</v>
      </c>
      <c r="B450" s="159" t="s">
        <v>212</v>
      </c>
      <c r="C450" s="162" t="s">
        <v>393</v>
      </c>
    </row>
    <row r="451" spans="1:3" x14ac:dyDescent="0.2">
      <c r="A451" s="163">
        <v>453</v>
      </c>
      <c r="B451" s="159" t="s">
        <v>212</v>
      </c>
      <c r="C451" s="162" t="s">
        <v>393</v>
      </c>
    </row>
    <row r="452" spans="1:3" x14ac:dyDescent="0.2">
      <c r="A452" s="163">
        <v>454</v>
      </c>
      <c r="B452" s="159" t="s">
        <v>212</v>
      </c>
      <c r="C452" s="162" t="s">
        <v>393</v>
      </c>
    </row>
    <row r="453" spans="1:3" x14ac:dyDescent="0.2">
      <c r="A453" s="163">
        <v>455</v>
      </c>
      <c r="B453" s="159" t="s">
        <v>212</v>
      </c>
      <c r="C453" s="162" t="s">
        <v>393</v>
      </c>
    </row>
    <row r="454" spans="1:3" x14ac:dyDescent="0.2">
      <c r="A454" s="163">
        <v>456</v>
      </c>
      <c r="B454" s="159" t="s">
        <v>212</v>
      </c>
      <c r="C454" s="162" t="s">
        <v>393</v>
      </c>
    </row>
    <row r="455" spans="1:3" x14ac:dyDescent="0.2">
      <c r="A455" s="163">
        <v>459</v>
      </c>
      <c r="B455" s="159" t="s">
        <v>212</v>
      </c>
      <c r="C455" s="162" t="s">
        <v>393</v>
      </c>
    </row>
    <row r="456" spans="1:3" x14ac:dyDescent="0.2">
      <c r="A456" s="163">
        <v>460</v>
      </c>
      <c r="B456" s="159" t="s">
        <v>301</v>
      </c>
      <c r="C456" s="162" t="s">
        <v>394</v>
      </c>
    </row>
    <row r="457" spans="1:3" x14ac:dyDescent="0.2">
      <c r="A457" s="163">
        <v>461</v>
      </c>
      <c r="B457" s="159" t="s">
        <v>301</v>
      </c>
      <c r="C457" s="162" t="s">
        <v>394</v>
      </c>
    </row>
    <row r="458" spans="1:3" x14ac:dyDescent="0.2">
      <c r="A458" s="163">
        <v>462</v>
      </c>
      <c r="B458" s="159" t="s">
        <v>302</v>
      </c>
      <c r="C458" s="162" t="s">
        <v>394</v>
      </c>
    </row>
    <row r="459" spans="1:3" x14ac:dyDescent="0.2">
      <c r="A459" s="163">
        <v>463</v>
      </c>
      <c r="B459" s="159" t="s">
        <v>303</v>
      </c>
      <c r="C459" s="162" t="s">
        <v>394</v>
      </c>
    </row>
    <row r="460" spans="1:3" x14ac:dyDescent="0.2">
      <c r="A460" s="163">
        <v>464</v>
      </c>
      <c r="B460" s="159" t="s">
        <v>304</v>
      </c>
      <c r="C460" s="162" t="s">
        <v>393</v>
      </c>
    </row>
    <row r="461" spans="1:3" x14ac:dyDescent="0.2">
      <c r="A461" s="163">
        <v>465</v>
      </c>
      <c r="B461" s="159" t="s">
        <v>305</v>
      </c>
      <c r="C461" s="162" t="s">
        <v>393</v>
      </c>
    </row>
    <row r="462" spans="1:3" x14ac:dyDescent="0.2">
      <c r="A462" s="163">
        <v>466</v>
      </c>
      <c r="B462" s="159" t="s">
        <v>306</v>
      </c>
      <c r="C462" s="162" t="s">
        <v>393</v>
      </c>
    </row>
    <row r="463" spans="1:3" x14ac:dyDescent="0.2">
      <c r="A463" s="163">
        <v>467</v>
      </c>
      <c r="B463" s="159" t="s">
        <v>306</v>
      </c>
      <c r="C463" s="162" t="s">
        <v>393</v>
      </c>
    </row>
    <row r="464" spans="1:3" x14ac:dyDescent="0.2">
      <c r="A464" s="163">
        <v>468</v>
      </c>
      <c r="B464" s="159" t="s">
        <v>306</v>
      </c>
      <c r="C464" s="162" t="s">
        <v>393</v>
      </c>
    </row>
    <row r="465" spans="1:3" x14ac:dyDescent="0.2">
      <c r="A465" s="163">
        <v>469</v>
      </c>
      <c r="B465" s="159" t="s">
        <v>306</v>
      </c>
      <c r="C465" s="162" t="s">
        <v>393</v>
      </c>
    </row>
    <row r="466" spans="1:3" x14ac:dyDescent="0.2">
      <c r="A466" s="163">
        <v>470</v>
      </c>
      <c r="B466" s="159" t="s">
        <v>306</v>
      </c>
      <c r="C466" s="162" t="s">
        <v>393</v>
      </c>
    </row>
    <row r="467" spans="1:3" x14ac:dyDescent="0.2">
      <c r="A467" s="163">
        <v>473</v>
      </c>
      <c r="B467" s="159" t="s">
        <v>307</v>
      </c>
      <c r="C467" s="162" t="s">
        <v>393</v>
      </c>
    </row>
    <row r="468" spans="1:3" x14ac:dyDescent="0.2">
      <c r="A468" s="163">
        <v>474</v>
      </c>
      <c r="B468" s="159" t="s">
        <v>308</v>
      </c>
      <c r="C468" s="162" t="s">
        <v>394</v>
      </c>
    </row>
    <row r="469" spans="1:3" x14ac:dyDescent="0.2">
      <c r="A469" s="163">
        <v>475</v>
      </c>
      <c r="B469" s="159" t="s">
        <v>309</v>
      </c>
      <c r="C469" s="162" t="s">
        <v>393</v>
      </c>
    </row>
    <row r="470" spans="1:3" x14ac:dyDescent="0.2">
      <c r="A470" s="163">
        <v>476</v>
      </c>
      <c r="B470" s="159" t="s">
        <v>310</v>
      </c>
      <c r="C470" s="162" t="s">
        <v>394</v>
      </c>
    </row>
    <row r="471" spans="1:3" x14ac:dyDescent="0.2">
      <c r="A471" s="163">
        <v>477</v>
      </c>
      <c r="B471" s="159" t="s">
        <v>310</v>
      </c>
      <c r="C471" s="162" t="s">
        <v>394</v>
      </c>
    </row>
    <row r="472" spans="1:3" x14ac:dyDescent="0.2">
      <c r="A472" s="163">
        <v>478</v>
      </c>
      <c r="B472" s="159" t="s">
        <v>241</v>
      </c>
      <c r="C472" s="162" t="s">
        <v>393</v>
      </c>
    </row>
    <row r="473" spans="1:3" x14ac:dyDescent="0.2">
      <c r="A473" s="163">
        <v>479</v>
      </c>
      <c r="B473" s="159" t="s">
        <v>298</v>
      </c>
      <c r="C473" s="162" t="s">
        <v>393</v>
      </c>
    </row>
    <row r="474" spans="1:3" x14ac:dyDescent="0.2">
      <c r="A474" s="163">
        <v>480</v>
      </c>
      <c r="B474" s="159" t="s">
        <v>298</v>
      </c>
      <c r="C474" s="162" t="s">
        <v>393</v>
      </c>
    </row>
    <row r="475" spans="1:3" x14ac:dyDescent="0.2">
      <c r="A475" s="163">
        <v>481</v>
      </c>
      <c r="B475" s="159" t="s">
        <v>298</v>
      </c>
      <c r="C475" s="162" t="s">
        <v>393</v>
      </c>
    </row>
    <row r="476" spans="1:3" x14ac:dyDescent="0.2">
      <c r="A476" s="163">
        <v>482</v>
      </c>
      <c r="B476" s="159" t="s">
        <v>311</v>
      </c>
      <c r="C476" s="162" t="s">
        <v>390</v>
      </c>
    </row>
    <row r="477" spans="1:3" x14ac:dyDescent="0.2">
      <c r="A477" s="163">
        <v>483</v>
      </c>
      <c r="B477" s="159" t="s">
        <v>312</v>
      </c>
      <c r="C477" s="162" t="s">
        <v>390</v>
      </c>
    </row>
    <row r="478" spans="1:3" x14ac:dyDescent="0.2">
      <c r="A478" s="163">
        <v>484</v>
      </c>
      <c r="B478" s="159" t="s">
        <v>313</v>
      </c>
      <c r="C478" s="162" t="s">
        <v>390</v>
      </c>
    </row>
    <row r="479" spans="1:3" x14ac:dyDescent="0.2">
      <c r="A479" s="163">
        <v>485</v>
      </c>
      <c r="B479" s="159" t="s">
        <v>314</v>
      </c>
      <c r="C479" s="162" t="s">
        <v>390</v>
      </c>
    </row>
    <row r="480" spans="1:3" x14ac:dyDescent="0.2">
      <c r="A480" s="163">
        <v>486</v>
      </c>
      <c r="B480" s="159" t="s">
        <v>315</v>
      </c>
      <c r="C480" s="162" t="s">
        <v>390</v>
      </c>
    </row>
    <row r="481" spans="1:3" x14ac:dyDescent="0.2">
      <c r="A481" s="163">
        <v>487</v>
      </c>
      <c r="B481" s="159" t="s">
        <v>316</v>
      </c>
      <c r="C481" s="162" t="s">
        <v>390</v>
      </c>
    </row>
    <row r="482" spans="1:3" x14ac:dyDescent="0.2">
      <c r="A482" s="163">
        <v>488</v>
      </c>
      <c r="B482" s="159" t="s">
        <v>317</v>
      </c>
      <c r="C482" s="162" t="s">
        <v>390</v>
      </c>
    </row>
    <row r="483" spans="1:3" x14ac:dyDescent="0.2">
      <c r="A483" s="163">
        <v>489</v>
      </c>
      <c r="B483" s="159" t="s">
        <v>318</v>
      </c>
      <c r="C483" s="162" t="s">
        <v>390</v>
      </c>
    </row>
    <row r="484" spans="1:3" x14ac:dyDescent="0.2">
      <c r="A484" s="163">
        <v>490</v>
      </c>
      <c r="B484" s="159" t="s">
        <v>319</v>
      </c>
      <c r="C484" s="162" t="s">
        <v>390</v>
      </c>
    </row>
    <row r="485" spans="1:3" x14ac:dyDescent="0.2">
      <c r="A485" s="163">
        <v>491</v>
      </c>
      <c r="B485" s="159" t="s">
        <v>320</v>
      </c>
      <c r="C485" s="162" t="s">
        <v>390</v>
      </c>
    </row>
    <row r="486" spans="1:3" x14ac:dyDescent="0.2">
      <c r="A486" s="163">
        <v>492</v>
      </c>
      <c r="B486" s="159" t="s">
        <v>321</v>
      </c>
      <c r="C486" s="162" t="s">
        <v>390</v>
      </c>
    </row>
    <row r="487" spans="1:3" x14ac:dyDescent="0.2">
      <c r="A487" s="163">
        <v>493</v>
      </c>
      <c r="B487" s="159" t="s">
        <v>322</v>
      </c>
      <c r="C487" s="162" t="s">
        <v>390</v>
      </c>
    </row>
    <row r="488" spans="1:3" x14ac:dyDescent="0.2">
      <c r="A488" s="163">
        <v>494</v>
      </c>
      <c r="B488" s="159" t="s">
        <v>323</v>
      </c>
      <c r="C488" s="162" t="s">
        <v>390</v>
      </c>
    </row>
    <row r="489" spans="1:3" x14ac:dyDescent="0.2">
      <c r="A489" s="163">
        <v>495</v>
      </c>
      <c r="B489" s="159" t="s">
        <v>324</v>
      </c>
      <c r="C489" s="162" t="s">
        <v>390</v>
      </c>
    </row>
    <row r="490" spans="1:3" x14ac:dyDescent="0.2">
      <c r="A490" s="163">
        <v>496</v>
      </c>
      <c r="B490" s="159" t="s">
        <v>325</v>
      </c>
      <c r="C490" s="162" t="s">
        <v>390</v>
      </c>
    </row>
    <row r="491" spans="1:3" x14ac:dyDescent="0.2">
      <c r="A491" s="163">
        <v>497</v>
      </c>
      <c r="B491" s="159" t="s">
        <v>326</v>
      </c>
      <c r="C491" s="162" t="s">
        <v>390</v>
      </c>
    </row>
    <row r="492" spans="1:3" x14ac:dyDescent="0.2">
      <c r="A492" s="163">
        <v>498</v>
      </c>
      <c r="B492" s="159" t="s">
        <v>327</v>
      </c>
      <c r="C492" s="162" t="s">
        <v>390</v>
      </c>
    </row>
    <row r="493" spans="1:3" x14ac:dyDescent="0.2">
      <c r="A493" s="163">
        <v>701</v>
      </c>
      <c r="B493" s="159" t="s">
        <v>328</v>
      </c>
      <c r="C493" s="162" t="s">
        <v>394</v>
      </c>
    </row>
    <row r="494" spans="1:3" x14ac:dyDescent="0.2">
      <c r="A494" s="163">
        <v>702</v>
      </c>
      <c r="B494" s="159" t="s">
        <v>328</v>
      </c>
      <c r="C494" s="162" t="s">
        <v>394</v>
      </c>
    </row>
    <row r="495" spans="1:3" x14ac:dyDescent="0.2">
      <c r="A495" s="163">
        <v>703</v>
      </c>
      <c r="B495" s="159" t="s">
        <v>264</v>
      </c>
      <c r="C495" s="162" t="s">
        <v>394</v>
      </c>
    </row>
    <row r="496" spans="1:3" x14ac:dyDescent="0.2">
      <c r="A496" s="163">
        <v>704</v>
      </c>
      <c r="B496" s="159" t="s">
        <v>264</v>
      </c>
      <c r="C496" s="162" t="s">
        <v>394</v>
      </c>
    </row>
    <row r="497" spans="1:3" x14ac:dyDescent="0.2">
      <c r="A497" s="163">
        <v>705</v>
      </c>
      <c r="B497" s="159" t="s">
        <v>264</v>
      </c>
      <c r="C497" s="162" t="s">
        <v>394</v>
      </c>
    </row>
    <row r="498" spans="1:3" x14ac:dyDescent="0.2">
      <c r="A498" s="163">
        <v>706</v>
      </c>
      <c r="B498" s="159" t="s">
        <v>264</v>
      </c>
      <c r="C498" s="162" t="s">
        <v>394</v>
      </c>
    </row>
    <row r="499" spans="1:3" x14ac:dyDescent="0.2">
      <c r="A499" s="163">
        <v>707</v>
      </c>
      <c r="B499" s="159" t="s">
        <v>264</v>
      </c>
      <c r="C499" s="162" t="s">
        <v>394</v>
      </c>
    </row>
    <row r="500" spans="1:3" x14ac:dyDescent="0.2">
      <c r="A500" s="163">
        <v>708</v>
      </c>
      <c r="B500" s="159" t="s">
        <v>264</v>
      </c>
      <c r="C500" s="162" t="s">
        <v>394</v>
      </c>
    </row>
    <row r="501" spans="1:3" x14ac:dyDescent="0.2">
      <c r="A501" s="163">
        <v>709</v>
      </c>
      <c r="B501" s="159" t="s">
        <v>264</v>
      </c>
      <c r="C501" s="162" t="s">
        <v>394</v>
      </c>
    </row>
    <row r="502" spans="1:3" x14ac:dyDescent="0.2">
      <c r="A502" s="163">
        <v>710</v>
      </c>
      <c r="B502" s="159" t="s">
        <v>264</v>
      </c>
      <c r="C502" s="162" t="s">
        <v>394</v>
      </c>
    </row>
    <row r="503" spans="1:3" x14ac:dyDescent="0.2">
      <c r="A503" s="163">
        <v>711</v>
      </c>
      <c r="B503" s="159" t="s">
        <v>264</v>
      </c>
      <c r="C503" s="162" t="s">
        <v>394</v>
      </c>
    </row>
    <row r="504" spans="1:3" x14ac:dyDescent="0.2">
      <c r="A504" s="163">
        <v>712</v>
      </c>
      <c r="B504" s="159" t="s">
        <v>329</v>
      </c>
      <c r="C504" s="162" t="s">
        <v>394</v>
      </c>
    </row>
    <row r="505" spans="1:3" x14ac:dyDescent="0.2">
      <c r="A505" s="163">
        <v>713</v>
      </c>
      <c r="B505" s="159" t="s">
        <v>329</v>
      </c>
      <c r="C505" s="162" t="s">
        <v>394</v>
      </c>
    </row>
    <row r="506" spans="1:3" x14ac:dyDescent="0.2">
      <c r="A506" s="163">
        <v>714</v>
      </c>
      <c r="B506" s="159" t="s">
        <v>329</v>
      </c>
      <c r="C506" s="162" t="s">
        <v>394</v>
      </c>
    </row>
    <row r="507" spans="1:3" x14ac:dyDescent="0.2">
      <c r="A507" s="163">
        <v>715</v>
      </c>
      <c r="B507" s="159" t="s">
        <v>329</v>
      </c>
      <c r="C507" s="162" t="s">
        <v>394</v>
      </c>
    </row>
    <row r="508" spans="1:3" x14ac:dyDescent="0.2">
      <c r="A508" s="163">
        <v>716</v>
      </c>
      <c r="B508" s="159" t="s">
        <v>330</v>
      </c>
      <c r="C508" s="162" t="s">
        <v>394</v>
      </c>
    </row>
    <row r="509" spans="1:3" x14ac:dyDescent="0.2">
      <c r="A509" s="163">
        <v>717</v>
      </c>
      <c r="B509" s="159" t="s">
        <v>330</v>
      </c>
      <c r="C509" s="162" t="s">
        <v>394</v>
      </c>
    </row>
    <row r="510" spans="1:3" x14ac:dyDescent="0.2">
      <c r="A510" s="163">
        <v>718</v>
      </c>
      <c r="B510" s="159" t="s">
        <v>331</v>
      </c>
      <c r="C510" s="162" t="s">
        <v>394</v>
      </c>
    </row>
    <row r="511" spans="1:3" x14ac:dyDescent="0.2">
      <c r="A511" s="163">
        <v>719</v>
      </c>
      <c r="B511" s="159" t="s">
        <v>331</v>
      </c>
      <c r="C511" s="162" t="s">
        <v>394</v>
      </c>
    </row>
    <row r="512" spans="1:3" x14ac:dyDescent="0.2">
      <c r="A512" s="163">
        <v>720</v>
      </c>
      <c r="B512" s="159" t="s">
        <v>199</v>
      </c>
      <c r="C512" s="162" t="s">
        <v>393</v>
      </c>
    </row>
    <row r="513" spans="1:3" x14ac:dyDescent="0.2">
      <c r="A513" s="163">
        <v>721</v>
      </c>
      <c r="B513" s="159" t="s">
        <v>332</v>
      </c>
      <c r="C513" s="162" t="s">
        <v>393</v>
      </c>
    </row>
    <row r="514" spans="1:3" x14ac:dyDescent="0.2">
      <c r="A514" s="163">
        <v>722</v>
      </c>
      <c r="B514" s="159" t="s">
        <v>332</v>
      </c>
      <c r="C514" s="162" t="s">
        <v>393</v>
      </c>
    </row>
    <row r="515" spans="1:3" x14ac:dyDescent="0.2">
      <c r="A515" s="163">
        <v>723</v>
      </c>
      <c r="B515" s="159" t="s">
        <v>332</v>
      </c>
      <c r="C515" s="162" t="s">
        <v>393</v>
      </c>
    </row>
    <row r="516" spans="1:3" x14ac:dyDescent="0.2">
      <c r="A516" s="163">
        <v>724</v>
      </c>
      <c r="B516" s="159" t="s">
        <v>332</v>
      </c>
      <c r="C516" s="162" t="s">
        <v>393</v>
      </c>
    </row>
    <row r="517" spans="1:3" x14ac:dyDescent="0.2">
      <c r="A517" s="163">
        <v>725</v>
      </c>
      <c r="B517" s="159" t="s">
        <v>332</v>
      </c>
      <c r="C517" s="162" t="s">
        <v>393</v>
      </c>
    </row>
    <row r="518" spans="1:3" x14ac:dyDescent="0.2">
      <c r="A518" s="163">
        <v>726</v>
      </c>
      <c r="B518" s="159" t="s">
        <v>332</v>
      </c>
      <c r="C518" s="162" t="s">
        <v>393</v>
      </c>
    </row>
    <row r="519" spans="1:3" x14ac:dyDescent="0.2">
      <c r="A519" s="163">
        <v>727</v>
      </c>
      <c r="B519" s="159" t="s">
        <v>332</v>
      </c>
      <c r="C519" s="162" t="s">
        <v>393</v>
      </c>
    </row>
    <row r="520" spans="1:3" x14ac:dyDescent="0.2">
      <c r="A520" s="163">
        <v>728</v>
      </c>
      <c r="B520" s="159" t="s">
        <v>333</v>
      </c>
      <c r="C520" s="162" t="s">
        <v>393</v>
      </c>
    </row>
    <row r="521" spans="1:3" x14ac:dyDescent="0.2">
      <c r="A521" s="163">
        <v>729</v>
      </c>
      <c r="B521" s="159" t="s">
        <v>332</v>
      </c>
      <c r="C521" s="162" t="s">
        <v>393</v>
      </c>
    </row>
    <row r="522" spans="1:3" x14ac:dyDescent="0.2">
      <c r="A522" s="163">
        <v>730</v>
      </c>
      <c r="B522" s="159" t="s">
        <v>333</v>
      </c>
      <c r="C522" s="162" t="s">
        <v>393</v>
      </c>
    </row>
    <row r="523" spans="1:3" x14ac:dyDescent="0.2">
      <c r="A523" s="163">
        <v>731</v>
      </c>
      <c r="B523" s="159" t="s">
        <v>332</v>
      </c>
      <c r="C523" s="162" t="s">
        <v>393</v>
      </c>
    </row>
    <row r="524" spans="1:3" x14ac:dyDescent="0.2">
      <c r="A524" s="163">
        <v>732</v>
      </c>
      <c r="B524" s="159" t="s">
        <v>333</v>
      </c>
      <c r="C524" s="162" t="s">
        <v>393</v>
      </c>
    </row>
    <row r="525" spans="1:3" x14ac:dyDescent="0.2">
      <c r="A525" s="163">
        <v>733</v>
      </c>
      <c r="B525" s="159" t="s">
        <v>332</v>
      </c>
      <c r="C525" s="162" t="s">
        <v>393</v>
      </c>
    </row>
    <row r="526" spans="1:3" x14ac:dyDescent="0.2">
      <c r="A526" s="163">
        <v>734</v>
      </c>
      <c r="B526" s="159" t="s">
        <v>333</v>
      </c>
      <c r="C526" s="162" t="s">
        <v>393</v>
      </c>
    </row>
    <row r="527" spans="1:3" x14ac:dyDescent="0.2">
      <c r="A527" s="163">
        <v>735</v>
      </c>
      <c r="B527" s="159" t="s">
        <v>332</v>
      </c>
      <c r="C527" s="162" t="s">
        <v>393</v>
      </c>
    </row>
    <row r="528" spans="1:3" x14ac:dyDescent="0.2">
      <c r="A528" s="163">
        <v>736</v>
      </c>
      <c r="B528" s="159" t="s">
        <v>333</v>
      </c>
      <c r="C528" s="162" t="s">
        <v>393</v>
      </c>
    </row>
    <row r="529" spans="1:3" x14ac:dyDescent="0.2">
      <c r="A529" s="163">
        <v>737</v>
      </c>
      <c r="B529" s="159" t="s">
        <v>332</v>
      </c>
      <c r="C529" s="162" t="s">
        <v>393</v>
      </c>
    </row>
    <row r="530" spans="1:3" x14ac:dyDescent="0.2">
      <c r="A530" s="163">
        <v>738</v>
      </c>
      <c r="B530" s="159" t="s">
        <v>333</v>
      </c>
      <c r="C530" s="162" t="s">
        <v>393</v>
      </c>
    </row>
    <row r="531" spans="1:3" x14ac:dyDescent="0.2">
      <c r="A531" s="163">
        <v>739</v>
      </c>
      <c r="B531" s="159" t="s">
        <v>332</v>
      </c>
      <c r="C531" s="162" t="s">
        <v>393</v>
      </c>
    </row>
    <row r="532" spans="1:3" x14ac:dyDescent="0.2">
      <c r="A532" s="163">
        <v>740</v>
      </c>
      <c r="B532" s="159" t="s">
        <v>333</v>
      </c>
      <c r="C532" s="162" t="s">
        <v>393</v>
      </c>
    </row>
    <row r="533" spans="1:3" x14ac:dyDescent="0.2">
      <c r="A533" s="163">
        <v>741</v>
      </c>
      <c r="B533" s="159" t="s">
        <v>332</v>
      </c>
      <c r="C533" s="162" t="s">
        <v>393</v>
      </c>
    </row>
    <row r="534" spans="1:3" x14ac:dyDescent="0.2">
      <c r="A534" s="163">
        <v>742</v>
      </c>
      <c r="B534" s="159" t="s">
        <v>333</v>
      </c>
      <c r="C534" s="162" t="s">
        <v>393</v>
      </c>
    </row>
    <row r="535" spans="1:3" x14ac:dyDescent="0.2">
      <c r="A535" s="163">
        <v>743</v>
      </c>
      <c r="B535" s="159" t="s">
        <v>332</v>
      </c>
      <c r="C535" s="162" t="s">
        <v>393</v>
      </c>
    </row>
    <row r="536" spans="1:3" x14ac:dyDescent="0.2">
      <c r="A536" s="163">
        <v>744</v>
      </c>
      <c r="B536" s="159" t="s">
        <v>333</v>
      </c>
      <c r="C536" s="162" t="s">
        <v>393</v>
      </c>
    </row>
    <row r="537" spans="1:3" x14ac:dyDescent="0.2">
      <c r="A537" s="163">
        <v>745</v>
      </c>
      <c r="B537" s="159" t="s">
        <v>332</v>
      </c>
      <c r="C537" s="162" t="s">
        <v>393</v>
      </c>
    </row>
    <row r="538" spans="1:3" x14ac:dyDescent="0.2">
      <c r="A538" s="163">
        <v>746</v>
      </c>
      <c r="B538" s="159" t="s">
        <v>333</v>
      </c>
      <c r="C538" s="162" t="s">
        <v>393</v>
      </c>
    </row>
    <row r="539" spans="1:3" x14ac:dyDescent="0.2">
      <c r="A539" s="163">
        <v>747</v>
      </c>
      <c r="B539" s="159" t="s">
        <v>332</v>
      </c>
      <c r="C539" s="162" t="s">
        <v>393</v>
      </c>
    </row>
    <row r="540" spans="1:3" x14ac:dyDescent="0.2">
      <c r="A540" s="163">
        <v>748</v>
      </c>
      <c r="B540" s="159" t="s">
        <v>332</v>
      </c>
      <c r="C540" s="162" t="s">
        <v>393</v>
      </c>
    </row>
    <row r="541" spans="1:3" x14ac:dyDescent="0.2">
      <c r="A541" s="163">
        <v>749</v>
      </c>
      <c r="B541" s="159" t="s">
        <v>333</v>
      </c>
      <c r="C541" s="162" t="s">
        <v>393</v>
      </c>
    </row>
    <row r="542" spans="1:3" x14ac:dyDescent="0.2">
      <c r="A542" s="163">
        <v>752</v>
      </c>
      <c r="B542" s="159" t="s">
        <v>332</v>
      </c>
      <c r="C542" s="162" t="s">
        <v>393</v>
      </c>
    </row>
    <row r="543" spans="1:3" x14ac:dyDescent="0.2">
      <c r="A543" s="163">
        <v>753</v>
      </c>
      <c r="B543" s="159" t="s">
        <v>334</v>
      </c>
      <c r="C543" s="162" t="s">
        <v>393</v>
      </c>
    </row>
    <row r="544" spans="1:3" x14ac:dyDescent="0.2">
      <c r="A544" s="163">
        <v>754</v>
      </c>
      <c r="B544" s="159" t="s">
        <v>332</v>
      </c>
      <c r="C544" s="162" t="s">
        <v>393</v>
      </c>
    </row>
    <row r="545" spans="1:3" x14ac:dyDescent="0.2">
      <c r="A545" s="163">
        <v>755</v>
      </c>
      <c r="B545" s="159" t="s">
        <v>334</v>
      </c>
      <c r="C545" s="162" t="s">
        <v>393</v>
      </c>
    </row>
    <row r="546" spans="1:3" x14ac:dyDescent="0.2">
      <c r="A546" s="163">
        <v>756</v>
      </c>
      <c r="B546" s="159" t="s">
        <v>332</v>
      </c>
      <c r="C546" s="162" t="s">
        <v>393</v>
      </c>
    </row>
    <row r="547" spans="1:3" x14ac:dyDescent="0.2">
      <c r="A547" s="163">
        <v>757</v>
      </c>
      <c r="B547" s="159" t="s">
        <v>334</v>
      </c>
      <c r="C547" s="162" t="s">
        <v>393</v>
      </c>
    </row>
    <row r="548" spans="1:3" x14ac:dyDescent="0.2">
      <c r="A548" s="163">
        <v>758</v>
      </c>
      <c r="B548" s="159" t="s">
        <v>332</v>
      </c>
      <c r="C548" s="162" t="s">
        <v>393</v>
      </c>
    </row>
    <row r="549" spans="1:3" x14ac:dyDescent="0.2">
      <c r="A549" s="163">
        <v>759</v>
      </c>
      <c r="B549" s="159" t="s">
        <v>334</v>
      </c>
      <c r="C549" s="162" t="s">
        <v>393</v>
      </c>
    </row>
    <row r="550" spans="1:3" x14ac:dyDescent="0.2">
      <c r="A550" s="163">
        <v>760</v>
      </c>
      <c r="B550" s="159" t="s">
        <v>332</v>
      </c>
      <c r="C550" s="162" t="s">
        <v>393</v>
      </c>
    </row>
    <row r="551" spans="1:3" x14ac:dyDescent="0.2">
      <c r="A551" s="163">
        <v>761</v>
      </c>
      <c r="B551" s="159" t="s">
        <v>334</v>
      </c>
      <c r="C551" s="162" t="s">
        <v>393</v>
      </c>
    </row>
    <row r="552" spans="1:3" x14ac:dyDescent="0.2">
      <c r="A552" s="163">
        <v>762</v>
      </c>
      <c r="B552" s="159" t="s">
        <v>332</v>
      </c>
      <c r="C552" s="162" t="s">
        <v>393</v>
      </c>
    </row>
    <row r="553" spans="1:3" x14ac:dyDescent="0.2">
      <c r="A553" s="163">
        <v>763</v>
      </c>
      <c r="B553" s="159" t="s">
        <v>334</v>
      </c>
      <c r="C553" s="162" t="s">
        <v>393</v>
      </c>
    </row>
    <row r="554" spans="1:3" x14ac:dyDescent="0.2">
      <c r="A554" s="163">
        <v>764</v>
      </c>
      <c r="B554" s="159" t="s">
        <v>332</v>
      </c>
      <c r="C554" s="162" t="s">
        <v>393</v>
      </c>
    </row>
    <row r="555" spans="1:3" x14ac:dyDescent="0.2">
      <c r="A555" s="163">
        <v>765</v>
      </c>
      <c r="B555" s="159" t="s">
        <v>334</v>
      </c>
      <c r="C555" s="162" t="s">
        <v>393</v>
      </c>
    </row>
    <row r="556" spans="1:3" x14ac:dyDescent="0.2">
      <c r="A556" s="163">
        <v>766</v>
      </c>
      <c r="B556" s="159" t="s">
        <v>332</v>
      </c>
      <c r="C556" s="162" t="s">
        <v>393</v>
      </c>
    </row>
    <row r="557" spans="1:3" x14ac:dyDescent="0.2">
      <c r="A557" s="163">
        <v>767</v>
      </c>
      <c r="B557" s="159" t="s">
        <v>334</v>
      </c>
      <c r="C557" s="162" t="s">
        <v>393</v>
      </c>
    </row>
    <row r="558" spans="1:3" x14ac:dyDescent="0.2">
      <c r="A558" s="163">
        <v>768</v>
      </c>
      <c r="B558" s="159" t="s">
        <v>332</v>
      </c>
      <c r="C558" s="162" t="s">
        <v>393</v>
      </c>
    </row>
    <row r="559" spans="1:3" x14ac:dyDescent="0.2">
      <c r="A559" s="163">
        <v>769</v>
      </c>
      <c r="B559" s="159" t="s">
        <v>334</v>
      </c>
      <c r="C559" s="162" t="s">
        <v>393</v>
      </c>
    </row>
    <row r="560" spans="1:3" x14ac:dyDescent="0.2">
      <c r="A560" s="163">
        <v>770</v>
      </c>
      <c r="B560" s="159" t="s">
        <v>335</v>
      </c>
      <c r="C560" s="162" t="s">
        <v>393</v>
      </c>
    </row>
    <row r="561" spans="1:3" x14ac:dyDescent="0.2">
      <c r="A561" s="163">
        <v>775</v>
      </c>
      <c r="B561" s="159" t="s">
        <v>336</v>
      </c>
      <c r="C561" s="162" t="s">
        <v>393</v>
      </c>
    </row>
    <row r="562" spans="1:3" x14ac:dyDescent="0.2">
      <c r="A562" s="163">
        <v>776</v>
      </c>
      <c r="B562" s="159" t="s">
        <v>336</v>
      </c>
      <c r="C562" s="162" t="s">
        <v>393</v>
      </c>
    </row>
    <row r="563" spans="1:3" x14ac:dyDescent="0.2">
      <c r="A563" s="163">
        <v>781</v>
      </c>
      <c r="B563" s="159" t="s">
        <v>332</v>
      </c>
      <c r="C563" s="162" t="s">
        <v>394</v>
      </c>
    </row>
    <row r="564" spans="1:3" x14ac:dyDescent="0.2">
      <c r="A564" s="163">
        <v>782</v>
      </c>
      <c r="B564" s="159" t="s">
        <v>332</v>
      </c>
      <c r="C564" s="162" t="s">
        <v>393</v>
      </c>
    </row>
    <row r="565" spans="1:3" x14ac:dyDescent="0.2">
      <c r="A565" s="163">
        <v>783</v>
      </c>
      <c r="B565" s="159" t="s">
        <v>332</v>
      </c>
      <c r="C565" s="162" t="s">
        <v>393</v>
      </c>
    </row>
    <row r="566" spans="1:3" x14ac:dyDescent="0.2">
      <c r="A566" s="163">
        <v>784</v>
      </c>
      <c r="B566" s="159" t="s">
        <v>332</v>
      </c>
      <c r="C566" s="162" t="s">
        <v>393</v>
      </c>
    </row>
    <row r="567" spans="1:3" x14ac:dyDescent="0.2">
      <c r="A567" s="163">
        <v>785</v>
      </c>
      <c r="B567" s="159" t="s">
        <v>332</v>
      </c>
      <c r="C567" s="162" t="s">
        <v>393</v>
      </c>
    </row>
    <row r="568" spans="1:3" x14ac:dyDescent="0.2">
      <c r="A568" s="163">
        <v>786</v>
      </c>
      <c r="B568" s="159" t="s">
        <v>332</v>
      </c>
      <c r="C568" s="162" t="s">
        <v>393</v>
      </c>
    </row>
    <row r="569" spans="1:3" x14ac:dyDescent="0.2">
      <c r="A569" s="163">
        <v>787</v>
      </c>
      <c r="B569" s="159" t="s">
        <v>337</v>
      </c>
      <c r="C569" s="162" t="s">
        <v>393</v>
      </c>
    </row>
    <row r="570" spans="1:3" x14ac:dyDescent="0.2">
      <c r="A570" s="163">
        <v>788</v>
      </c>
      <c r="B570" s="159" t="s">
        <v>338</v>
      </c>
      <c r="C570" s="162" t="s">
        <v>393</v>
      </c>
    </row>
    <row r="571" spans="1:3" x14ac:dyDescent="0.2">
      <c r="A571" s="163">
        <v>789</v>
      </c>
      <c r="B571" s="159" t="s">
        <v>339</v>
      </c>
      <c r="C571" s="162" t="s">
        <v>393</v>
      </c>
    </row>
    <row r="572" spans="1:3" x14ac:dyDescent="0.2">
      <c r="A572" s="163">
        <v>790</v>
      </c>
      <c r="B572" s="159" t="s">
        <v>340</v>
      </c>
      <c r="C572" s="162" t="s">
        <v>393</v>
      </c>
    </row>
    <row r="573" spans="1:3" x14ac:dyDescent="0.2">
      <c r="A573" s="163">
        <v>791</v>
      </c>
      <c r="B573" s="159" t="s">
        <v>341</v>
      </c>
      <c r="C573" s="162" t="s">
        <v>393</v>
      </c>
    </row>
    <row r="574" spans="1:3" x14ac:dyDescent="0.2">
      <c r="A574" s="163">
        <v>792</v>
      </c>
      <c r="B574" s="159" t="s">
        <v>342</v>
      </c>
      <c r="C574" s="162" t="s">
        <v>393</v>
      </c>
    </row>
    <row r="575" spans="1:3" x14ac:dyDescent="0.2">
      <c r="A575" s="163">
        <v>793</v>
      </c>
      <c r="B575" s="159" t="s">
        <v>332</v>
      </c>
      <c r="C575" s="162" t="s">
        <v>393</v>
      </c>
    </row>
    <row r="576" spans="1:3" x14ac:dyDescent="0.2">
      <c r="A576" s="163">
        <v>794</v>
      </c>
      <c r="B576" s="159" t="s">
        <v>333</v>
      </c>
      <c r="C576" s="162" t="s">
        <v>393</v>
      </c>
    </row>
    <row r="577" spans="1:3" x14ac:dyDescent="0.2">
      <c r="A577" s="163">
        <v>801</v>
      </c>
      <c r="B577" s="159" t="s">
        <v>261</v>
      </c>
      <c r="C577" s="162" t="s">
        <v>393</v>
      </c>
    </row>
    <row r="578" spans="1:3" x14ac:dyDescent="0.2">
      <c r="A578" s="163">
        <v>802</v>
      </c>
      <c r="B578" s="159" t="s">
        <v>343</v>
      </c>
      <c r="C578" s="162" t="s">
        <v>393</v>
      </c>
    </row>
    <row r="579" spans="1:3" x14ac:dyDescent="0.2">
      <c r="A579" s="163">
        <v>803</v>
      </c>
      <c r="B579" s="159" t="s">
        <v>344</v>
      </c>
      <c r="C579" s="162" t="s">
        <v>394</v>
      </c>
    </row>
    <row r="580" spans="1:3" x14ac:dyDescent="0.2">
      <c r="A580" s="163">
        <v>804</v>
      </c>
      <c r="B580" s="159" t="s">
        <v>343</v>
      </c>
      <c r="C580" s="162" t="s">
        <v>393</v>
      </c>
    </row>
    <row r="581" spans="1:3" x14ac:dyDescent="0.2">
      <c r="A581" s="163">
        <v>805</v>
      </c>
      <c r="B581" s="159" t="s">
        <v>344</v>
      </c>
      <c r="C581" s="162" t="s">
        <v>394</v>
      </c>
    </row>
    <row r="582" spans="1:3" x14ac:dyDescent="0.2">
      <c r="A582" s="163">
        <v>806</v>
      </c>
      <c r="B582" s="159" t="s">
        <v>343</v>
      </c>
      <c r="C582" s="162" t="s">
        <v>393</v>
      </c>
    </row>
    <row r="583" spans="1:3" x14ac:dyDescent="0.2">
      <c r="A583" s="163">
        <v>807</v>
      </c>
      <c r="B583" s="159" t="s">
        <v>344</v>
      </c>
      <c r="C583" s="162" t="s">
        <v>394</v>
      </c>
    </row>
    <row r="584" spans="1:3" x14ac:dyDescent="0.2">
      <c r="A584" s="163">
        <v>808</v>
      </c>
      <c r="B584" s="159" t="s">
        <v>343</v>
      </c>
      <c r="C584" s="162" t="s">
        <v>393</v>
      </c>
    </row>
    <row r="585" spans="1:3" x14ac:dyDescent="0.2">
      <c r="A585" s="163">
        <v>809</v>
      </c>
      <c r="B585" s="159" t="s">
        <v>344</v>
      </c>
      <c r="C585" s="162" t="s">
        <v>394</v>
      </c>
    </row>
    <row r="586" spans="1:3" x14ac:dyDescent="0.2">
      <c r="A586" s="163">
        <v>810</v>
      </c>
      <c r="B586" s="159" t="s">
        <v>343</v>
      </c>
      <c r="C586" s="162" t="s">
        <v>393</v>
      </c>
    </row>
    <row r="587" spans="1:3" x14ac:dyDescent="0.2">
      <c r="A587" s="163">
        <v>811</v>
      </c>
      <c r="B587" s="159" t="s">
        <v>344</v>
      </c>
      <c r="C587" s="162" t="s">
        <v>394</v>
      </c>
    </row>
    <row r="588" spans="1:3" x14ac:dyDescent="0.2">
      <c r="A588" s="163">
        <v>812</v>
      </c>
      <c r="B588" s="159" t="s">
        <v>343</v>
      </c>
      <c r="C588" s="162" t="s">
        <v>393</v>
      </c>
    </row>
    <row r="589" spans="1:3" x14ac:dyDescent="0.2">
      <c r="A589" s="163">
        <v>813</v>
      </c>
      <c r="B589" s="159" t="s">
        <v>344</v>
      </c>
      <c r="C589" s="162" t="s">
        <v>394</v>
      </c>
    </row>
    <row r="590" spans="1:3" x14ac:dyDescent="0.2">
      <c r="A590" s="163">
        <v>814</v>
      </c>
      <c r="B590" s="159" t="s">
        <v>343</v>
      </c>
      <c r="C590" s="162" t="s">
        <v>393</v>
      </c>
    </row>
    <row r="591" spans="1:3" x14ac:dyDescent="0.2">
      <c r="A591" s="163">
        <v>815</v>
      </c>
      <c r="B591" s="159" t="s">
        <v>344</v>
      </c>
      <c r="C591" s="162" t="s">
        <v>394</v>
      </c>
    </row>
    <row r="592" spans="1:3" x14ac:dyDescent="0.2">
      <c r="A592" s="163">
        <v>816</v>
      </c>
      <c r="B592" s="159" t="s">
        <v>343</v>
      </c>
      <c r="C592" s="162" t="s">
        <v>393</v>
      </c>
    </row>
    <row r="593" spans="1:3" x14ac:dyDescent="0.2">
      <c r="A593" s="163">
        <v>817</v>
      </c>
      <c r="B593" s="159" t="s">
        <v>344</v>
      </c>
      <c r="C593" s="162" t="s">
        <v>394</v>
      </c>
    </row>
    <row r="594" spans="1:3" x14ac:dyDescent="0.2">
      <c r="A594" s="163">
        <v>818</v>
      </c>
      <c r="B594" s="159" t="s">
        <v>343</v>
      </c>
      <c r="C594" s="162" t="s">
        <v>393</v>
      </c>
    </row>
    <row r="595" spans="1:3" x14ac:dyDescent="0.2">
      <c r="A595" s="163">
        <v>819</v>
      </c>
      <c r="B595" s="159" t="s">
        <v>344</v>
      </c>
      <c r="C595" s="162" t="s">
        <v>394</v>
      </c>
    </row>
    <row r="596" spans="1:3" x14ac:dyDescent="0.2">
      <c r="A596" s="163">
        <v>820</v>
      </c>
      <c r="B596" s="159" t="s">
        <v>343</v>
      </c>
      <c r="C596" s="162" t="s">
        <v>393</v>
      </c>
    </row>
    <row r="597" spans="1:3" x14ac:dyDescent="0.2">
      <c r="A597" s="163">
        <v>821</v>
      </c>
      <c r="B597" s="159" t="s">
        <v>344</v>
      </c>
      <c r="C597" s="162" t="s">
        <v>394</v>
      </c>
    </row>
    <row r="598" spans="1:3" x14ac:dyDescent="0.2">
      <c r="A598" s="163">
        <v>822</v>
      </c>
      <c r="B598" s="159" t="s">
        <v>343</v>
      </c>
      <c r="C598" s="162" t="s">
        <v>393</v>
      </c>
    </row>
    <row r="599" spans="1:3" x14ac:dyDescent="0.2">
      <c r="A599" s="163">
        <v>823</v>
      </c>
      <c r="B599" s="159" t="s">
        <v>344</v>
      </c>
      <c r="C599" s="162" t="s">
        <v>394</v>
      </c>
    </row>
    <row r="600" spans="1:3" x14ac:dyDescent="0.2">
      <c r="A600" s="163">
        <v>824</v>
      </c>
      <c r="B600" s="159" t="s">
        <v>343</v>
      </c>
      <c r="C600" s="162" t="s">
        <v>393</v>
      </c>
    </row>
    <row r="601" spans="1:3" x14ac:dyDescent="0.2">
      <c r="A601" s="163">
        <v>825</v>
      </c>
      <c r="B601" s="159" t="s">
        <v>344</v>
      </c>
      <c r="C601" s="162" t="s">
        <v>394</v>
      </c>
    </row>
    <row r="602" spans="1:3" x14ac:dyDescent="0.2">
      <c r="A602" s="163">
        <v>826</v>
      </c>
      <c r="B602" s="159" t="s">
        <v>343</v>
      </c>
      <c r="C602" s="162" t="s">
        <v>393</v>
      </c>
    </row>
    <row r="603" spans="1:3" x14ac:dyDescent="0.2">
      <c r="A603" s="163">
        <v>827</v>
      </c>
      <c r="B603" s="159" t="s">
        <v>344</v>
      </c>
      <c r="C603" s="162" t="s">
        <v>394</v>
      </c>
    </row>
    <row r="604" spans="1:3" x14ac:dyDescent="0.2">
      <c r="A604" s="163">
        <v>828</v>
      </c>
      <c r="B604" s="159" t="s">
        <v>343</v>
      </c>
      <c r="C604" s="162" t="s">
        <v>393</v>
      </c>
    </row>
    <row r="605" spans="1:3" x14ac:dyDescent="0.2">
      <c r="A605" s="163">
        <v>829</v>
      </c>
      <c r="B605" s="159" t="s">
        <v>344</v>
      </c>
      <c r="C605" s="162" t="s">
        <v>394</v>
      </c>
    </row>
    <row r="606" spans="1:3" x14ac:dyDescent="0.2">
      <c r="A606" s="163">
        <v>830</v>
      </c>
      <c r="B606" s="159" t="s">
        <v>343</v>
      </c>
      <c r="C606" s="162" t="s">
        <v>393</v>
      </c>
    </row>
    <row r="607" spans="1:3" x14ac:dyDescent="0.2">
      <c r="A607" s="163">
        <v>831</v>
      </c>
      <c r="B607" s="159" t="s">
        <v>344</v>
      </c>
      <c r="C607" s="162" t="s">
        <v>394</v>
      </c>
    </row>
    <row r="608" spans="1:3" x14ac:dyDescent="0.2">
      <c r="A608" s="163">
        <v>832</v>
      </c>
      <c r="B608" s="159" t="s">
        <v>343</v>
      </c>
      <c r="C608" s="162" t="s">
        <v>393</v>
      </c>
    </row>
    <row r="609" spans="1:3" x14ac:dyDescent="0.2">
      <c r="A609" s="163">
        <v>833</v>
      </c>
      <c r="B609" s="159" t="s">
        <v>344</v>
      </c>
      <c r="C609" s="162" t="s">
        <v>394</v>
      </c>
    </row>
    <row r="610" spans="1:3" x14ac:dyDescent="0.2">
      <c r="A610" s="163">
        <v>834</v>
      </c>
      <c r="B610" s="159" t="s">
        <v>343</v>
      </c>
      <c r="C610" s="162" t="s">
        <v>393</v>
      </c>
    </row>
    <row r="611" spans="1:3" x14ac:dyDescent="0.2">
      <c r="A611" s="163">
        <v>835</v>
      </c>
      <c r="B611" s="159" t="s">
        <v>344</v>
      </c>
      <c r="C611" s="162" t="s">
        <v>394</v>
      </c>
    </row>
    <row r="612" spans="1:3" x14ac:dyDescent="0.2">
      <c r="A612" s="163">
        <v>836</v>
      </c>
      <c r="B612" s="159" t="s">
        <v>343</v>
      </c>
      <c r="C612" s="162" t="s">
        <v>393</v>
      </c>
    </row>
    <row r="613" spans="1:3" x14ac:dyDescent="0.2">
      <c r="A613" s="163">
        <v>837</v>
      </c>
      <c r="B613" s="159" t="s">
        <v>344</v>
      </c>
      <c r="C613" s="162" t="s">
        <v>394</v>
      </c>
    </row>
    <row r="614" spans="1:3" x14ac:dyDescent="0.2">
      <c r="A614" s="163">
        <v>838</v>
      </c>
      <c r="B614" s="159" t="s">
        <v>343</v>
      </c>
      <c r="C614" s="162" t="s">
        <v>393</v>
      </c>
    </row>
    <row r="615" spans="1:3" x14ac:dyDescent="0.2">
      <c r="A615" s="163">
        <v>839</v>
      </c>
      <c r="B615" s="159" t="s">
        <v>344</v>
      </c>
      <c r="C615" s="162" t="s">
        <v>394</v>
      </c>
    </row>
    <row r="616" spans="1:3" x14ac:dyDescent="0.2">
      <c r="A616" s="163">
        <v>840</v>
      </c>
      <c r="B616" s="159" t="s">
        <v>343</v>
      </c>
      <c r="C616" s="162" t="s">
        <v>393</v>
      </c>
    </row>
    <row r="617" spans="1:3" x14ac:dyDescent="0.2">
      <c r="A617" s="163">
        <v>841</v>
      </c>
      <c r="B617" s="159" t="s">
        <v>344</v>
      </c>
      <c r="C617" s="162" t="s">
        <v>394</v>
      </c>
    </row>
    <row r="618" spans="1:3" x14ac:dyDescent="0.2">
      <c r="A618" s="163">
        <v>842</v>
      </c>
      <c r="B618" s="159" t="s">
        <v>343</v>
      </c>
      <c r="C618" s="162" t="s">
        <v>393</v>
      </c>
    </row>
    <row r="619" spans="1:3" x14ac:dyDescent="0.2">
      <c r="A619" s="163">
        <v>843</v>
      </c>
      <c r="B619" s="159" t="s">
        <v>344</v>
      </c>
      <c r="C619" s="162" t="s">
        <v>394</v>
      </c>
    </row>
    <row r="620" spans="1:3" x14ac:dyDescent="0.2">
      <c r="A620" s="163">
        <v>844</v>
      </c>
      <c r="B620" s="159" t="s">
        <v>343</v>
      </c>
      <c r="C620" s="162" t="s">
        <v>393</v>
      </c>
    </row>
    <row r="621" spans="1:3" x14ac:dyDescent="0.2">
      <c r="A621" s="163">
        <v>845</v>
      </c>
      <c r="B621" s="159" t="s">
        <v>344</v>
      </c>
      <c r="C621" s="162" t="s">
        <v>394</v>
      </c>
    </row>
    <row r="622" spans="1:3" x14ac:dyDescent="0.2">
      <c r="A622" s="163">
        <v>846</v>
      </c>
      <c r="B622" s="159" t="s">
        <v>343</v>
      </c>
      <c r="C622" s="162" t="s">
        <v>393</v>
      </c>
    </row>
    <row r="623" spans="1:3" x14ac:dyDescent="0.2">
      <c r="A623" s="163">
        <v>847</v>
      </c>
      <c r="B623" s="159" t="s">
        <v>344</v>
      </c>
      <c r="C623" s="162" t="s">
        <v>394</v>
      </c>
    </row>
    <row r="624" spans="1:3" x14ac:dyDescent="0.2">
      <c r="A624" s="163">
        <v>848</v>
      </c>
      <c r="B624" s="159" t="s">
        <v>343</v>
      </c>
      <c r="C624" s="162" t="s">
        <v>393</v>
      </c>
    </row>
    <row r="625" spans="1:3" x14ac:dyDescent="0.2">
      <c r="A625" s="163">
        <v>849</v>
      </c>
      <c r="B625" s="159" t="s">
        <v>344</v>
      </c>
      <c r="C625" s="162" t="s">
        <v>394</v>
      </c>
    </row>
    <row r="626" spans="1:3" x14ac:dyDescent="0.2">
      <c r="A626" s="163">
        <v>850</v>
      </c>
      <c r="B626" s="159" t="s">
        <v>344</v>
      </c>
      <c r="C626" s="162" t="s">
        <v>394</v>
      </c>
    </row>
    <row r="627" spans="1:3" x14ac:dyDescent="0.2">
      <c r="A627" s="163">
        <v>851</v>
      </c>
      <c r="B627" s="159" t="s">
        <v>344</v>
      </c>
      <c r="C627" s="162" t="s">
        <v>394</v>
      </c>
    </row>
    <row r="628" spans="1:3" x14ac:dyDescent="0.2">
      <c r="A628" s="163">
        <v>852</v>
      </c>
      <c r="B628" s="159" t="s">
        <v>343</v>
      </c>
      <c r="C628" s="162" t="s">
        <v>393</v>
      </c>
    </row>
    <row r="629" spans="1:3" x14ac:dyDescent="0.2">
      <c r="A629" s="163">
        <v>853</v>
      </c>
      <c r="B629" s="159" t="s">
        <v>343</v>
      </c>
      <c r="C629" s="162" t="s">
        <v>393</v>
      </c>
    </row>
    <row r="630" spans="1:3" x14ac:dyDescent="0.2">
      <c r="A630" s="163">
        <v>854</v>
      </c>
      <c r="B630" s="159" t="s">
        <v>343</v>
      </c>
      <c r="C630" s="162" t="s">
        <v>393</v>
      </c>
    </row>
    <row r="631" spans="1:3" x14ac:dyDescent="0.2">
      <c r="A631" s="163">
        <v>855</v>
      </c>
      <c r="B631" s="159" t="s">
        <v>343</v>
      </c>
      <c r="C631" s="162" t="s">
        <v>393</v>
      </c>
    </row>
    <row r="632" spans="1:3" x14ac:dyDescent="0.2">
      <c r="A632" s="163">
        <v>856</v>
      </c>
      <c r="B632" s="159" t="s">
        <v>343</v>
      </c>
      <c r="C632" s="162" t="s">
        <v>393</v>
      </c>
    </row>
    <row r="633" spans="1:3" x14ac:dyDescent="0.2">
      <c r="A633" s="163">
        <v>857</v>
      </c>
      <c r="B633" s="159" t="s">
        <v>343</v>
      </c>
      <c r="C633" s="162" t="s">
        <v>393</v>
      </c>
    </row>
    <row r="634" spans="1:3" x14ac:dyDescent="0.2">
      <c r="A634" s="163">
        <v>858</v>
      </c>
      <c r="B634" s="159" t="s">
        <v>343</v>
      </c>
      <c r="C634" s="162" t="s">
        <v>393</v>
      </c>
    </row>
    <row r="635" spans="1:3" x14ac:dyDescent="0.2">
      <c r="A635" s="163">
        <v>859</v>
      </c>
      <c r="B635" s="159" t="s">
        <v>343</v>
      </c>
      <c r="C635" s="162" t="s">
        <v>393</v>
      </c>
    </row>
    <row r="636" spans="1:3" x14ac:dyDescent="0.2">
      <c r="A636" s="163">
        <v>860</v>
      </c>
      <c r="B636" s="159" t="s">
        <v>343</v>
      </c>
      <c r="C636" s="162" t="s">
        <v>393</v>
      </c>
    </row>
    <row r="637" spans="1:3" x14ac:dyDescent="0.2">
      <c r="A637" s="163">
        <v>861</v>
      </c>
      <c r="B637" s="159" t="s">
        <v>343</v>
      </c>
      <c r="C637" s="162" t="s">
        <v>393</v>
      </c>
    </row>
    <row r="638" spans="1:3" x14ac:dyDescent="0.2">
      <c r="A638" s="163">
        <v>862</v>
      </c>
      <c r="B638" s="159" t="s">
        <v>343</v>
      </c>
      <c r="C638" s="162" t="s">
        <v>393</v>
      </c>
    </row>
    <row r="639" spans="1:3" x14ac:dyDescent="0.2">
      <c r="A639" s="163">
        <v>863</v>
      </c>
      <c r="B639" s="159" t="s">
        <v>343</v>
      </c>
      <c r="C639" s="162" t="s">
        <v>393</v>
      </c>
    </row>
    <row r="640" spans="1:3" x14ac:dyDescent="0.2">
      <c r="A640" s="163">
        <v>864</v>
      </c>
      <c r="B640" s="159" t="s">
        <v>343</v>
      </c>
      <c r="C640" s="162" t="s">
        <v>393</v>
      </c>
    </row>
    <row r="641" spans="1:3" x14ac:dyDescent="0.2">
      <c r="A641" s="163">
        <v>865</v>
      </c>
      <c r="B641" s="159" t="s">
        <v>343</v>
      </c>
      <c r="C641" s="162" t="s">
        <v>393</v>
      </c>
    </row>
    <row r="642" spans="1:3" x14ac:dyDescent="0.2">
      <c r="A642" s="163">
        <v>866</v>
      </c>
      <c r="B642" s="159" t="s">
        <v>344</v>
      </c>
      <c r="C642" s="162" t="s">
        <v>394</v>
      </c>
    </row>
    <row r="643" spans="1:3" x14ac:dyDescent="0.2">
      <c r="A643" s="163">
        <v>867</v>
      </c>
      <c r="B643" s="159" t="s">
        <v>343</v>
      </c>
      <c r="C643" s="162" t="s">
        <v>393</v>
      </c>
    </row>
    <row r="644" spans="1:3" x14ac:dyDescent="0.2">
      <c r="A644" s="163">
        <v>868</v>
      </c>
      <c r="B644" s="159" t="s">
        <v>344</v>
      </c>
      <c r="C644" s="162" t="s">
        <v>394</v>
      </c>
    </row>
    <row r="645" spans="1:3" x14ac:dyDescent="0.2">
      <c r="A645" s="163">
        <v>869</v>
      </c>
      <c r="B645" s="159" t="s">
        <v>343</v>
      </c>
      <c r="C645" s="162" t="s">
        <v>393</v>
      </c>
    </row>
    <row r="646" spans="1:3" x14ac:dyDescent="0.2">
      <c r="A646" s="163">
        <v>870</v>
      </c>
      <c r="B646" s="159" t="s">
        <v>344</v>
      </c>
      <c r="C646" s="162" t="s">
        <v>394</v>
      </c>
    </row>
    <row r="647" spans="1:3" x14ac:dyDescent="0.2">
      <c r="A647" s="163">
        <v>871</v>
      </c>
      <c r="B647" s="159" t="s">
        <v>343</v>
      </c>
      <c r="C647" s="162" t="s">
        <v>393</v>
      </c>
    </row>
    <row r="648" spans="1:3" x14ac:dyDescent="0.2">
      <c r="A648" s="163">
        <v>872</v>
      </c>
      <c r="B648" s="159" t="s">
        <v>344</v>
      </c>
      <c r="C648" s="162" t="s">
        <v>394</v>
      </c>
    </row>
    <row r="649" spans="1:3" x14ac:dyDescent="0.2">
      <c r="A649" s="163">
        <v>873</v>
      </c>
      <c r="B649" s="159" t="s">
        <v>343</v>
      </c>
      <c r="C649" s="162" t="s">
        <v>393</v>
      </c>
    </row>
    <row r="650" spans="1:3" x14ac:dyDescent="0.2">
      <c r="A650" s="163">
        <v>874</v>
      </c>
      <c r="B650" s="159" t="s">
        <v>344</v>
      </c>
      <c r="C650" s="162" t="s">
        <v>394</v>
      </c>
    </row>
    <row r="651" spans="1:3" x14ac:dyDescent="0.2">
      <c r="A651" s="163">
        <v>875</v>
      </c>
      <c r="B651" s="159" t="s">
        <v>343</v>
      </c>
      <c r="C651" s="162" t="s">
        <v>393</v>
      </c>
    </row>
    <row r="652" spans="1:3" x14ac:dyDescent="0.2">
      <c r="A652" s="163">
        <v>876</v>
      </c>
      <c r="B652" s="159" t="s">
        <v>344</v>
      </c>
      <c r="C652" s="162" t="s">
        <v>394</v>
      </c>
    </row>
    <row r="653" spans="1:3" x14ac:dyDescent="0.2">
      <c r="A653" s="163">
        <v>877</v>
      </c>
      <c r="B653" s="159" t="s">
        <v>343</v>
      </c>
      <c r="C653" s="162" t="s">
        <v>393</v>
      </c>
    </row>
    <row r="654" spans="1:3" x14ac:dyDescent="0.2">
      <c r="A654" s="163">
        <v>878</v>
      </c>
      <c r="B654" s="159" t="s">
        <v>344</v>
      </c>
      <c r="C654" s="162" t="s">
        <v>394</v>
      </c>
    </row>
    <row r="655" spans="1:3" x14ac:dyDescent="0.2">
      <c r="A655" s="163">
        <v>879</v>
      </c>
      <c r="B655" s="159" t="s">
        <v>343</v>
      </c>
      <c r="C655" s="162" t="s">
        <v>393</v>
      </c>
    </row>
    <row r="656" spans="1:3" x14ac:dyDescent="0.2">
      <c r="A656" s="163">
        <v>880</v>
      </c>
      <c r="B656" s="159" t="s">
        <v>344</v>
      </c>
      <c r="C656" s="162" t="s">
        <v>394</v>
      </c>
    </row>
    <row r="657" spans="1:3" x14ac:dyDescent="0.2">
      <c r="A657" s="163">
        <v>881</v>
      </c>
      <c r="B657" s="159" t="s">
        <v>343</v>
      </c>
      <c r="C657" s="162" t="s">
        <v>393</v>
      </c>
    </row>
    <row r="658" spans="1:3" x14ac:dyDescent="0.2">
      <c r="A658" s="163">
        <v>882</v>
      </c>
      <c r="B658" s="159" t="s">
        <v>344</v>
      </c>
      <c r="C658" s="162" t="s">
        <v>394</v>
      </c>
    </row>
    <row r="659" spans="1:3" x14ac:dyDescent="0.2">
      <c r="A659" s="163">
        <v>883</v>
      </c>
      <c r="B659" s="159" t="s">
        <v>343</v>
      </c>
      <c r="C659" s="162" t="s">
        <v>393</v>
      </c>
    </row>
    <row r="660" spans="1:3" x14ac:dyDescent="0.2">
      <c r="A660" s="163">
        <v>884</v>
      </c>
      <c r="B660" s="159" t="s">
        <v>344</v>
      </c>
      <c r="C660" s="162" t="s">
        <v>394</v>
      </c>
    </row>
    <row r="661" spans="1:3" x14ac:dyDescent="0.2">
      <c r="A661" s="163">
        <v>885</v>
      </c>
      <c r="B661" s="159" t="s">
        <v>343</v>
      </c>
      <c r="C661" s="162" t="s">
        <v>393</v>
      </c>
    </row>
    <row r="662" spans="1:3" x14ac:dyDescent="0.2">
      <c r="A662" s="163">
        <v>886</v>
      </c>
      <c r="B662" s="159" t="s">
        <v>344</v>
      </c>
      <c r="C662" s="162" t="s">
        <v>394</v>
      </c>
    </row>
    <row r="663" spans="1:3" x14ac:dyDescent="0.2">
      <c r="A663" s="163">
        <v>887</v>
      </c>
      <c r="B663" s="159" t="s">
        <v>343</v>
      </c>
      <c r="C663" s="162" t="s">
        <v>393</v>
      </c>
    </row>
    <row r="664" spans="1:3" x14ac:dyDescent="0.2">
      <c r="A664" s="163">
        <v>888</v>
      </c>
      <c r="B664" s="159" t="s">
        <v>344</v>
      </c>
      <c r="C664" s="162" t="s">
        <v>394</v>
      </c>
    </row>
    <row r="665" spans="1:3" x14ac:dyDescent="0.2">
      <c r="A665" s="163">
        <v>889</v>
      </c>
      <c r="B665" s="159" t="s">
        <v>343</v>
      </c>
      <c r="C665" s="162" t="s">
        <v>393</v>
      </c>
    </row>
    <row r="666" spans="1:3" x14ac:dyDescent="0.2">
      <c r="A666" s="163">
        <v>890</v>
      </c>
      <c r="B666" s="159" t="s">
        <v>344</v>
      </c>
      <c r="C666" s="162" t="s">
        <v>394</v>
      </c>
    </row>
    <row r="667" spans="1:3" x14ac:dyDescent="0.2">
      <c r="A667" s="163">
        <v>891</v>
      </c>
      <c r="B667" s="159" t="s">
        <v>344</v>
      </c>
      <c r="C667" s="162" t="s">
        <v>394</v>
      </c>
    </row>
    <row r="668" spans="1:3" x14ac:dyDescent="0.2">
      <c r="A668" s="163">
        <v>892</v>
      </c>
      <c r="B668" s="159" t="s">
        <v>344</v>
      </c>
      <c r="C668" s="162" t="s">
        <v>394</v>
      </c>
    </row>
    <row r="669" spans="1:3" x14ac:dyDescent="0.2">
      <c r="A669" s="163">
        <v>893</v>
      </c>
      <c r="B669" s="159" t="s">
        <v>344</v>
      </c>
      <c r="C669" s="162" t="s">
        <v>394</v>
      </c>
    </row>
    <row r="670" spans="1:3" x14ac:dyDescent="0.2">
      <c r="A670" s="163">
        <v>894</v>
      </c>
      <c r="B670" s="159" t="s">
        <v>302</v>
      </c>
      <c r="C670" s="162" t="s">
        <v>394</v>
      </c>
    </row>
    <row r="671" spans="1:3" x14ac:dyDescent="0.2">
      <c r="A671" s="163">
        <v>895</v>
      </c>
      <c r="B671" s="159" t="s">
        <v>302</v>
      </c>
      <c r="C671" s="162" t="s">
        <v>394</v>
      </c>
    </row>
    <row r="672" spans="1:3" x14ac:dyDescent="0.2">
      <c r="A672" s="163">
        <v>896</v>
      </c>
      <c r="B672" s="159" t="s">
        <v>302</v>
      </c>
      <c r="C672" s="162" t="s">
        <v>394</v>
      </c>
    </row>
    <row r="673" spans="1:3" x14ac:dyDescent="0.2">
      <c r="A673" s="163">
        <v>897</v>
      </c>
      <c r="B673" s="159" t="s">
        <v>344</v>
      </c>
      <c r="C673" s="162" t="s">
        <v>394</v>
      </c>
    </row>
    <row r="674" spans="1:3" x14ac:dyDescent="0.2">
      <c r="A674" s="163">
        <v>898</v>
      </c>
      <c r="B674" s="159" t="s">
        <v>344</v>
      </c>
      <c r="C674" s="162" t="s">
        <v>394</v>
      </c>
    </row>
    <row r="675" spans="1:3" x14ac:dyDescent="0.2">
      <c r="A675" s="163">
        <v>899</v>
      </c>
      <c r="B675" s="159" t="s">
        <v>345</v>
      </c>
      <c r="C675" s="162" t="s">
        <v>394</v>
      </c>
    </row>
    <row r="676" spans="1:3" x14ac:dyDescent="0.2">
      <c r="A676" s="163">
        <v>900</v>
      </c>
      <c r="B676" s="159" t="s">
        <v>345</v>
      </c>
      <c r="C676" s="162" t="s">
        <v>394</v>
      </c>
    </row>
    <row r="677" spans="1:3" x14ac:dyDescent="0.2">
      <c r="A677" s="163">
        <v>901</v>
      </c>
      <c r="B677" s="159" t="s">
        <v>345</v>
      </c>
      <c r="C677" s="162" t="s">
        <v>394</v>
      </c>
    </row>
    <row r="678" spans="1:3" x14ac:dyDescent="0.2">
      <c r="A678" s="163">
        <v>902</v>
      </c>
      <c r="B678" s="159" t="s">
        <v>345</v>
      </c>
      <c r="C678" s="162" t="s">
        <v>394</v>
      </c>
    </row>
    <row r="679" spans="1:3" x14ac:dyDescent="0.2">
      <c r="A679" s="163">
        <v>903</v>
      </c>
      <c r="B679" s="159" t="s">
        <v>345</v>
      </c>
      <c r="C679" s="162" t="s">
        <v>394</v>
      </c>
    </row>
    <row r="680" spans="1:3" x14ac:dyDescent="0.2">
      <c r="A680" s="163">
        <v>904</v>
      </c>
      <c r="B680" s="159" t="s">
        <v>346</v>
      </c>
      <c r="C680" s="162" t="s">
        <v>394</v>
      </c>
    </row>
    <row r="681" spans="1:3" x14ac:dyDescent="0.2">
      <c r="A681" s="163">
        <v>905</v>
      </c>
      <c r="B681" s="159" t="s">
        <v>346</v>
      </c>
      <c r="C681" s="162" t="s">
        <v>394</v>
      </c>
    </row>
    <row r="682" spans="1:3" x14ac:dyDescent="0.2">
      <c r="A682" s="163">
        <v>906</v>
      </c>
      <c r="B682" s="159" t="s">
        <v>346</v>
      </c>
      <c r="C682" s="162" t="s">
        <v>394</v>
      </c>
    </row>
    <row r="683" spans="1:3" x14ac:dyDescent="0.2">
      <c r="A683" s="163">
        <v>907</v>
      </c>
      <c r="B683" s="159" t="s">
        <v>347</v>
      </c>
      <c r="C683" s="162" t="s">
        <v>394</v>
      </c>
    </row>
    <row r="684" spans="1:3" x14ac:dyDescent="0.2">
      <c r="A684" s="163">
        <v>908</v>
      </c>
      <c r="B684" s="159" t="s">
        <v>347</v>
      </c>
      <c r="C684" s="162" t="s">
        <v>394</v>
      </c>
    </row>
    <row r="685" spans="1:3" x14ac:dyDescent="0.2">
      <c r="A685" s="163">
        <v>909</v>
      </c>
      <c r="B685" s="159" t="s">
        <v>347</v>
      </c>
      <c r="C685" s="162" t="s">
        <v>394</v>
      </c>
    </row>
    <row r="686" spans="1:3" x14ac:dyDescent="0.2">
      <c r="A686" s="163">
        <v>910</v>
      </c>
      <c r="B686" s="159" t="s">
        <v>347</v>
      </c>
      <c r="C686" s="162" t="s">
        <v>394</v>
      </c>
    </row>
    <row r="687" spans="1:3" x14ac:dyDescent="0.2">
      <c r="A687" s="163">
        <v>911</v>
      </c>
      <c r="B687" s="159" t="s">
        <v>347</v>
      </c>
      <c r="C687" s="162" t="s">
        <v>394</v>
      </c>
    </row>
    <row r="688" spans="1:3" x14ac:dyDescent="0.2">
      <c r="A688" s="163">
        <v>912</v>
      </c>
      <c r="B688" s="159" t="s">
        <v>347</v>
      </c>
      <c r="C688" s="162" t="s">
        <v>394</v>
      </c>
    </row>
    <row r="689" spans="1:3" x14ac:dyDescent="0.2">
      <c r="A689" s="163">
        <v>913</v>
      </c>
      <c r="B689" s="159" t="s">
        <v>347</v>
      </c>
      <c r="C689" s="162" t="s">
        <v>394</v>
      </c>
    </row>
    <row r="690" spans="1:3" x14ac:dyDescent="0.2">
      <c r="A690" s="163">
        <v>914</v>
      </c>
      <c r="B690" s="159" t="s">
        <v>348</v>
      </c>
      <c r="C690" s="162" t="s">
        <v>393</v>
      </c>
    </row>
    <row r="691" spans="1:3" x14ac:dyDescent="0.2">
      <c r="A691" s="163">
        <v>915</v>
      </c>
      <c r="B691" s="159" t="s">
        <v>302</v>
      </c>
      <c r="C691" s="162" t="s">
        <v>393</v>
      </c>
    </row>
    <row r="692" spans="1:3" x14ac:dyDescent="0.2">
      <c r="A692" s="163">
        <v>916</v>
      </c>
      <c r="B692" s="159" t="s">
        <v>302</v>
      </c>
      <c r="C692" s="162" t="s">
        <v>393</v>
      </c>
    </row>
    <row r="693" spans="1:3" x14ac:dyDescent="0.2">
      <c r="A693" s="163">
        <v>917</v>
      </c>
      <c r="B693" s="159" t="s">
        <v>302</v>
      </c>
      <c r="C693" s="162" t="s">
        <v>393</v>
      </c>
    </row>
    <row r="694" spans="1:3" x14ac:dyDescent="0.2">
      <c r="A694" s="163">
        <v>918</v>
      </c>
      <c r="B694" s="159" t="s">
        <v>238</v>
      </c>
      <c r="C694" s="162" t="s">
        <v>393</v>
      </c>
    </row>
    <row r="695" spans="1:3" x14ac:dyDescent="0.2">
      <c r="A695" s="163">
        <v>919</v>
      </c>
      <c r="B695" s="159" t="s">
        <v>349</v>
      </c>
      <c r="C695" s="162" t="s">
        <v>393</v>
      </c>
    </row>
    <row r="696" spans="1:3" x14ac:dyDescent="0.2">
      <c r="A696" s="163">
        <v>920</v>
      </c>
      <c r="B696" s="159" t="s">
        <v>349</v>
      </c>
      <c r="C696" s="162" t="s">
        <v>393</v>
      </c>
    </row>
    <row r="697" spans="1:3" x14ac:dyDescent="0.2">
      <c r="A697" s="163">
        <v>922</v>
      </c>
      <c r="B697" s="159" t="s">
        <v>261</v>
      </c>
      <c r="C697" s="162" t="s">
        <v>393</v>
      </c>
    </row>
    <row r="698" spans="1:3" x14ac:dyDescent="0.2">
      <c r="A698" s="163">
        <v>923</v>
      </c>
      <c r="B698" s="159" t="s">
        <v>261</v>
      </c>
      <c r="C698" s="162" t="s">
        <v>393</v>
      </c>
    </row>
    <row r="699" spans="1:3" x14ac:dyDescent="0.2">
      <c r="A699" s="163">
        <v>924</v>
      </c>
      <c r="B699" s="159" t="s">
        <v>261</v>
      </c>
      <c r="C699" s="162" t="s">
        <v>393</v>
      </c>
    </row>
    <row r="700" spans="1:3" x14ac:dyDescent="0.2">
      <c r="A700" s="163">
        <v>925</v>
      </c>
      <c r="B700" s="159" t="s">
        <v>350</v>
      </c>
      <c r="C700" s="162" t="s">
        <v>389</v>
      </c>
    </row>
    <row r="701" spans="1:3" x14ac:dyDescent="0.2">
      <c r="A701" s="163">
        <v>926</v>
      </c>
      <c r="B701" s="159" t="s">
        <v>291</v>
      </c>
      <c r="C701" s="162" t="s">
        <v>389</v>
      </c>
    </row>
    <row r="702" spans="1:3" x14ac:dyDescent="0.2">
      <c r="A702" s="163">
        <v>927</v>
      </c>
      <c r="B702" s="159" t="s">
        <v>293</v>
      </c>
      <c r="C702" s="162" t="s">
        <v>389</v>
      </c>
    </row>
    <row r="703" spans="1:3" x14ac:dyDescent="0.2">
      <c r="A703" s="163">
        <v>928</v>
      </c>
      <c r="B703" s="159" t="s">
        <v>292</v>
      </c>
      <c r="C703" s="162" t="s">
        <v>389</v>
      </c>
    </row>
    <row r="704" spans="1:3" x14ac:dyDescent="0.2">
      <c r="A704" s="163">
        <v>929</v>
      </c>
      <c r="B704" s="159" t="s">
        <v>345</v>
      </c>
      <c r="C704" s="162" t="s">
        <v>394</v>
      </c>
    </row>
    <row r="705" spans="1:3" x14ac:dyDescent="0.2">
      <c r="A705" s="163">
        <v>930</v>
      </c>
      <c r="B705" s="159" t="s">
        <v>345</v>
      </c>
      <c r="C705" s="162" t="s">
        <v>394</v>
      </c>
    </row>
    <row r="706" spans="1:3" x14ac:dyDescent="0.2">
      <c r="A706" s="163">
        <v>931</v>
      </c>
      <c r="B706" s="159" t="s">
        <v>345</v>
      </c>
      <c r="C706" s="162" t="s">
        <v>394</v>
      </c>
    </row>
    <row r="707" spans="1:3" x14ac:dyDescent="0.2">
      <c r="A707" s="163">
        <v>932</v>
      </c>
      <c r="B707" s="159" t="s">
        <v>351</v>
      </c>
      <c r="C707" s="162" t="s">
        <v>393</v>
      </c>
    </row>
    <row r="708" spans="1:3" x14ac:dyDescent="0.2">
      <c r="A708" s="163">
        <v>933</v>
      </c>
      <c r="B708" s="159" t="s">
        <v>343</v>
      </c>
      <c r="C708" s="162" t="s">
        <v>393</v>
      </c>
    </row>
    <row r="709" spans="1:3" x14ac:dyDescent="0.2">
      <c r="A709" s="163">
        <v>934</v>
      </c>
      <c r="B709" s="159" t="s">
        <v>344</v>
      </c>
      <c r="C709" s="162" t="s">
        <v>394</v>
      </c>
    </row>
    <row r="710" spans="1:3" x14ac:dyDescent="0.2">
      <c r="A710" s="163">
        <v>935</v>
      </c>
      <c r="B710" s="159" t="s">
        <v>352</v>
      </c>
      <c r="C710" s="162" t="s">
        <v>393</v>
      </c>
    </row>
    <row r="711" spans="1:3" x14ac:dyDescent="0.2">
      <c r="A711" s="163">
        <v>936</v>
      </c>
      <c r="B711" s="159" t="s">
        <v>352</v>
      </c>
      <c r="C711" s="162" t="s">
        <v>393</v>
      </c>
    </row>
    <row r="712" spans="1:3" x14ac:dyDescent="0.2">
      <c r="A712" s="163">
        <v>937</v>
      </c>
      <c r="B712" s="159" t="s">
        <v>352</v>
      </c>
      <c r="C712" s="162" t="s">
        <v>393</v>
      </c>
    </row>
    <row r="713" spans="1:3" x14ac:dyDescent="0.2">
      <c r="A713" s="163">
        <v>938</v>
      </c>
      <c r="B713" s="159" t="s">
        <v>352</v>
      </c>
      <c r="C713" s="162" t="s">
        <v>393</v>
      </c>
    </row>
    <row r="714" spans="1:3" x14ac:dyDescent="0.2">
      <c r="A714" s="163">
        <v>939</v>
      </c>
      <c r="B714" s="159" t="s">
        <v>352</v>
      </c>
      <c r="C714" s="162" t="s">
        <v>393</v>
      </c>
    </row>
    <row r="715" spans="1:3" x14ac:dyDescent="0.2">
      <c r="A715" s="163">
        <v>940</v>
      </c>
      <c r="B715" s="159" t="s">
        <v>353</v>
      </c>
      <c r="C715" s="162" t="s">
        <v>390</v>
      </c>
    </row>
    <row r="716" spans="1:3" x14ac:dyDescent="0.2">
      <c r="A716" s="163">
        <v>941</v>
      </c>
      <c r="B716" s="159" t="s">
        <v>354</v>
      </c>
      <c r="C716" s="162" t="s">
        <v>390</v>
      </c>
    </row>
    <row r="717" spans="1:3" x14ac:dyDescent="0.2">
      <c r="A717" s="163">
        <v>942</v>
      </c>
      <c r="B717" s="159" t="s">
        <v>207</v>
      </c>
      <c r="C717" s="162" t="s">
        <v>393</v>
      </c>
    </row>
    <row r="718" spans="1:3" x14ac:dyDescent="0.2">
      <c r="A718" s="163">
        <v>943</v>
      </c>
      <c r="B718" s="159" t="s">
        <v>198</v>
      </c>
      <c r="C718" s="162" t="s">
        <v>393</v>
      </c>
    </row>
    <row r="719" spans="1:3" x14ac:dyDescent="0.2">
      <c r="A719" s="163">
        <v>944</v>
      </c>
      <c r="B719" s="159" t="s">
        <v>198</v>
      </c>
      <c r="C719" s="162" t="s">
        <v>393</v>
      </c>
    </row>
    <row r="720" spans="1:3" x14ac:dyDescent="0.2">
      <c r="A720" s="163">
        <v>945</v>
      </c>
      <c r="B720" s="159" t="s">
        <v>198</v>
      </c>
      <c r="C720" s="162" t="s">
        <v>393</v>
      </c>
    </row>
    <row r="721" spans="1:3" x14ac:dyDescent="0.2">
      <c r="A721" s="163">
        <v>946</v>
      </c>
      <c r="B721" s="159" t="s">
        <v>198</v>
      </c>
      <c r="C721" s="162" t="s">
        <v>393</v>
      </c>
    </row>
    <row r="722" spans="1:3" x14ac:dyDescent="0.2">
      <c r="A722" s="163">
        <v>947</v>
      </c>
      <c r="B722" s="159" t="s">
        <v>355</v>
      </c>
      <c r="C722" s="162" t="s">
        <v>393</v>
      </c>
    </row>
    <row r="723" spans="1:3" x14ac:dyDescent="0.2">
      <c r="A723" s="163">
        <v>948</v>
      </c>
      <c r="B723" s="159" t="s">
        <v>356</v>
      </c>
      <c r="C723" s="162" t="s">
        <v>393</v>
      </c>
    </row>
    <row r="724" spans="1:3" x14ac:dyDescent="0.2">
      <c r="A724" s="163">
        <v>949</v>
      </c>
      <c r="B724" s="159" t="s">
        <v>357</v>
      </c>
      <c r="C724" s="162" t="s">
        <v>393</v>
      </c>
    </row>
    <row r="725" spans="1:3" x14ac:dyDescent="0.2">
      <c r="A725" s="163">
        <v>950</v>
      </c>
      <c r="B725" s="159" t="s">
        <v>358</v>
      </c>
      <c r="C725" s="162" t="s">
        <v>394</v>
      </c>
    </row>
    <row r="726" spans="1:3" x14ac:dyDescent="0.2">
      <c r="A726" s="163">
        <v>951</v>
      </c>
      <c r="B726" s="159" t="s">
        <v>359</v>
      </c>
      <c r="C726" s="162" t="s">
        <v>394</v>
      </c>
    </row>
    <row r="727" spans="1:3" x14ac:dyDescent="0.2">
      <c r="A727" s="163">
        <v>952</v>
      </c>
      <c r="B727" s="159" t="s">
        <v>360</v>
      </c>
      <c r="C727" s="162" t="s">
        <v>393</v>
      </c>
    </row>
    <row r="728" spans="1:3" x14ac:dyDescent="0.2">
      <c r="A728" s="163">
        <v>953</v>
      </c>
      <c r="B728" s="159" t="s">
        <v>361</v>
      </c>
      <c r="C728" s="162" t="s">
        <v>393</v>
      </c>
    </row>
    <row r="729" spans="1:3" x14ac:dyDescent="0.2">
      <c r="A729" s="163">
        <v>954</v>
      </c>
      <c r="B729" s="159" t="s">
        <v>362</v>
      </c>
      <c r="C729" s="162" t="s">
        <v>393</v>
      </c>
    </row>
    <row r="730" spans="1:3" x14ac:dyDescent="0.2">
      <c r="A730" s="163">
        <v>955</v>
      </c>
      <c r="B730" s="159" t="s">
        <v>363</v>
      </c>
      <c r="C730" s="162" t="s">
        <v>393</v>
      </c>
    </row>
    <row r="731" spans="1:3" x14ac:dyDescent="0.2">
      <c r="A731" s="163">
        <v>956</v>
      </c>
      <c r="B731" s="159" t="s">
        <v>364</v>
      </c>
      <c r="C731" s="162" t="s">
        <v>393</v>
      </c>
    </row>
    <row r="732" spans="1:3" x14ac:dyDescent="0.2">
      <c r="A732" s="163">
        <v>957</v>
      </c>
      <c r="B732" s="159" t="s">
        <v>365</v>
      </c>
      <c r="C732" s="162" t="s">
        <v>393</v>
      </c>
    </row>
    <row r="733" spans="1:3" x14ac:dyDescent="0.2">
      <c r="A733" s="163">
        <v>958</v>
      </c>
      <c r="B733" s="159" t="s">
        <v>366</v>
      </c>
      <c r="C733" s="162" t="s">
        <v>393</v>
      </c>
    </row>
    <row r="734" spans="1:3" x14ac:dyDescent="0.2">
      <c r="A734" s="163">
        <v>959</v>
      </c>
      <c r="B734" s="159" t="s">
        <v>367</v>
      </c>
      <c r="C734" s="162" t="s">
        <v>393</v>
      </c>
    </row>
    <row r="735" spans="1:3" x14ac:dyDescent="0.2">
      <c r="A735" s="163">
        <v>960</v>
      </c>
      <c r="B735" s="159" t="s">
        <v>368</v>
      </c>
      <c r="C735" s="162" t="s">
        <v>393</v>
      </c>
    </row>
    <row r="736" spans="1:3" x14ac:dyDescent="0.2">
      <c r="A736" s="163">
        <v>961</v>
      </c>
      <c r="B736" s="159" t="s">
        <v>369</v>
      </c>
      <c r="C736" s="162" t="s">
        <v>393</v>
      </c>
    </row>
    <row r="737" spans="1:3" x14ac:dyDescent="0.2">
      <c r="A737" s="163">
        <v>962</v>
      </c>
      <c r="B737" s="159" t="s">
        <v>370</v>
      </c>
      <c r="C737" s="162" t="s">
        <v>393</v>
      </c>
    </row>
    <row r="738" spans="1:3" x14ac:dyDescent="0.2">
      <c r="A738" s="163">
        <v>963</v>
      </c>
      <c r="B738" s="159" t="s">
        <v>371</v>
      </c>
      <c r="C738" s="162" t="s">
        <v>393</v>
      </c>
    </row>
    <row r="739" spans="1:3" x14ac:dyDescent="0.2">
      <c r="A739" s="163">
        <v>964</v>
      </c>
      <c r="B739" s="159" t="s">
        <v>372</v>
      </c>
      <c r="C739" s="162" t="s">
        <v>393</v>
      </c>
    </row>
    <row r="740" spans="1:3" x14ac:dyDescent="0.2">
      <c r="A740" s="163">
        <v>965</v>
      </c>
      <c r="B740" s="159" t="s">
        <v>373</v>
      </c>
      <c r="C740" s="162" t="s">
        <v>393</v>
      </c>
    </row>
    <row r="741" spans="1:3" x14ac:dyDescent="0.2">
      <c r="A741" s="163">
        <v>966</v>
      </c>
      <c r="B741" s="159" t="s">
        <v>218</v>
      </c>
      <c r="C741" s="162" t="s">
        <v>394</v>
      </c>
    </row>
    <row r="742" spans="1:3" x14ac:dyDescent="0.2">
      <c r="A742" s="163">
        <v>967</v>
      </c>
      <c r="B742" s="159" t="s">
        <v>230</v>
      </c>
      <c r="C742" s="162" t="s">
        <v>393</v>
      </c>
    </row>
    <row r="743" spans="1:3" x14ac:dyDescent="0.2">
      <c r="A743" s="163">
        <v>968</v>
      </c>
      <c r="B743" s="159" t="s">
        <v>230</v>
      </c>
      <c r="C743" s="162" t="s">
        <v>393</v>
      </c>
    </row>
    <row r="744" spans="1:3" x14ac:dyDescent="0.2">
      <c r="A744" s="163">
        <v>969</v>
      </c>
      <c r="B744" s="159" t="s">
        <v>373</v>
      </c>
      <c r="C744" s="162" t="s">
        <v>393</v>
      </c>
    </row>
    <row r="745" spans="1:3" x14ac:dyDescent="0.2">
      <c r="A745" s="163">
        <v>970</v>
      </c>
      <c r="B745" s="159" t="s">
        <v>186</v>
      </c>
      <c r="C745" s="162" t="s">
        <v>393</v>
      </c>
    </row>
    <row r="746" spans="1:3" x14ac:dyDescent="0.2">
      <c r="A746" s="163">
        <v>971</v>
      </c>
      <c r="B746" s="159" t="s">
        <v>374</v>
      </c>
      <c r="C746" s="162" t="s">
        <v>393</v>
      </c>
    </row>
    <row r="747" spans="1:3" x14ac:dyDescent="0.2">
      <c r="A747" s="163">
        <v>972</v>
      </c>
      <c r="B747" s="159" t="s">
        <v>375</v>
      </c>
      <c r="C747" s="162" t="s">
        <v>393</v>
      </c>
    </row>
    <row r="748" spans="1:3" x14ac:dyDescent="0.2">
      <c r="A748" s="163">
        <v>973</v>
      </c>
      <c r="B748" s="159" t="s">
        <v>228</v>
      </c>
      <c r="C748" s="162" t="s">
        <v>393</v>
      </c>
    </row>
    <row r="749" spans="1:3" x14ac:dyDescent="0.2">
      <c r="A749" s="163">
        <v>974</v>
      </c>
      <c r="B749" s="159" t="s">
        <v>254</v>
      </c>
      <c r="C749" s="162" t="s">
        <v>393</v>
      </c>
    </row>
    <row r="750" spans="1:3" x14ac:dyDescent="0.2">
      <c r="A750" s="163">
        <v>975</v>
      </c>
      <c r="B750" s="159" t="s">
        <v>376</v>
      </c>
      <c r="C750" s="162" t="s">
        <v>393</v>
      </c>
    </row>
    <row r="751" spans="1:3" x14ac:dyDescent="0.2">
      <c r="A751" s="163">
        <v>976</v>
      </c>
      <c r="B751" s="159" t="s">
        <v>377</v>
      </c>
      <c r="C751" s="162" t="s">
        <v>393</v>
      </c>
    </row>
    <row r="752" spans="1:3" x14ac:dyDescent="0.2">
      <c r="A752" s="163">
        <v>978</v>
      </c>
      <c r="B752" s="159" t="s">
        <v>212</v>
      </c>
      <c r="C752" s="162" t="s">
        <v>394</v>
      </c>
    </row>
    <row r="753" spans="1:3" x14ac:dyDescent="0.2">
      <c r="A753" s="163">
        <v>979</v>
      </c>
      <c r="B753" s="159" t="s">
        <v>251</v>
      </c>
      <c r="C753" s="162" t="s">
        <v>394</v>
      </c>
    </row>
    <row r="754" spans="1:3" x14ac:dyDescent="0.2">
      <c r="A754" s="163">
        <v>980</v>
      </c>
      <c r="B754" s="159" t="s">
        <v>378</v>
      </c>
      <c r="C754" s="162" t="s">
        <v>393</v>
      </c>
    </row>
    <row r="755" spans="1:3" x14ac:dyDescent="0.2">
      <c r="A755" s="163">
        <v>981</v>
      </c>
      <c r="B755" s="159" t="s">
        <v>379</v>
      </c>
      <c r="C755" s="162" t="s">
        <v>394</v>
      </c>
    </row>
    <row r="756" spans="1:3" x14ac:dyDescent="0.2">
      <c r="A756" s="163">
        <v>982</v>
      </c>
      <c r="B756" s="159" t="s">
        <v>380</v>
      </c>
      <c r="C756" s="162" t="s">
        <v>393</v>
      </c>
    </row>
    <row r="757" spans="1:3" x14ac:dyDescent="0.2">
      <c r="A757" s="163">
        <v>983</v>
      </c>
      <c r="B757" s="159" t="s">
        <v>381</v>
      </c>
      <c r="C757" s="162" t="s">
        <v>393</v>
      </c>
    </row>
    <row r="758" spans="1:3" x14ac:dyDescent="0.2">
      <c r="A758" s="163">
        <v>984</v>
      </c>
      <c r="B758" s="159" t="s">
        <v>382</v>
      </c>
      <c r="C758" s="162" t="s">
        <v>393</v>
      </c>
    </row>
    <row r="759" spans="1:3" x14ac:dyDescent="0.2">
      <c r="A759" s="163">
        <v>985</v>
      </c>
      <c r="B759" s="159" t="s">
        <v>383</v>
      </c>
      <c r="C759" s="162" t="s">
        <v>393</v>
      </c>
    </row>
    <row r="760" spans="1:3" x14ac:dyDescent="0.2">
      <c r="A760" s="163">
        <v>989</v>
      </c>
      <c r="B760" s="159" t="s">
        <v>267</v>
      </c>
      <c r="C760" s="162" t="s">
        <v>393</v>
      </c>
    </row>
    <row r="761" spans="1:3" x14ac:dyDescent="0.2">
      <c r="A761" s="163">
        <v>990</v>
      </c>
      <c r="B761" s="159" t="s">
        <v>268</v>
      </c>
      <c r="C761" s="162" t="s">
        <v>394</v>
      </c>
    </row>
    <row r="762" spans="1:3" x14ac:dyDescent="0.2">
      <c r="A762" s="163">
        <v>991</v>
      </c>
      <c r="B762" s="159" t="s">
        <v>218</v>
      </c>
      <c r="C762" s="162" t="s">
        <v>394</v>
      </c>
    </row>
    <row r="763" spans="1:3" x14ac:dyDescent="0.2">
      <c r="A763" s="163">
        <v>996</v>
      </c>
      <c r="B763" s="159" t="s">
        <v>297</v>
      </c>
      <c r="C763" s="162" t="s">
        <v>393</v>
      </c>
    </row>
    <row r="764" spans="1:3" x14ac:dyDescent="0.2">
      <c r="A764" s="163">
        <v>997</v>
      </c>
      <c r="B764" s="159" t="s">
        <v>384</v>
      </c>
      <c r="C764" s="162" t="s">
        <v>393</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3"/>
  <sheetViews>
    <sheetView showGridLines="0" zoomScaleNormal="100" workbookViewId="0"/>
  </sheetViews>
  <sheetFormatPr defaultRowHeight="12.75" x14ac:dyDescent="0.2"/>
  <cols>
    <col min="1" max="1" width="32.7109375" customWidth="1"/>
    <col min="2" max="2" width="14.7109375" customWidth="1"/>
    <col min="3" max="3" width="8.7109375" customWidth="1"/>
    <col min="4" max="9" width="14.7109375" customWidth="1"/>
  </cols>
  <sheetData>
    <row r="1" spans="1:9" x14ac:dyDescent="0.2">
      <c r="A1" s="156" t="s">
        <v>16</v>
      </c>
      <c r="B1" s="156"/>
    </row>
    <row r="2" spans="1:9" ht="36.75" customHeight="1" x14ac:dyDescent="0.2">
      <c r="A2" s="250" t="str">
        <f>Overview!B4&amp; " - Effective from "&amp;Overview!C4&amp;" - "&amp;Overview!E4&amp;" Residual Charging Bands"</f>
        <v>London Power Networks - Effective from 2027/28 - Final Residual Charging Bands</v>
      </c>
      <c r="B2" s="251"/>
      <c r="C2" s="251"/>
      <c r="D2" s="251"/>
      <c r="E2" s="251"/>
      <c r="F2" s="251"/>
      <c r="G2" s="251"/>
      <c r="H2" s="251"/>
      <c r="I2" s="252"/>
    </row>
    <row r="4" spans="1:9" ht="60" customHeight="1" x14ac:dyDescent="0.2">
      <c r="A4" s="20" t="s">
        <v>519</v>
      </c>
      <c r="B4" s="20" t="s">
        <v>515</v>
      </c>
      <c r="C4" s="20" t="s">
        <v>520</v>
      </c>
      <c r="D4" s="20" t="s">
        <v>524</v>
      </c>
      <c r="E4" s="20" t="s">
        <v>525</v>
      </c>
      <c r="F4" s="205" t="s">
        <v>666</v>
      </c>
      <c r="G4" s="205" t="s">
        <v>667</v>
      </c>
      <c r="H4" s="205" t="s">
        <v>668</v>
      </c>
      <c r="I4" s="205" t="s">
        <v>669</v>
      </c>
    </row>
    <row r="5" spans="1:9" ht="15" customHeight="1" x14ac:dyDescent="0.2">
      <c r="A5" s="178" t="s">
        <v>129</v>
      </c>
      <c r="B5" s="179" t="s">
        <v>517</v>
      </c>
      <c r="C5" s="179" t="s">
        <v>518</v>
      </c>
      <c r="D5" s="182"/>
      <c r="E5" s="182"/>
      <c r="F5" s="210">
        <v>-5.4849222419318977</v>
      </c>
      <c r="G5" s="211">
        <v>-0.21746675036587701</v>
      </c>
      <c r="H5" s="211">
        <v>-0.21746675036587701</v>
      </c>
      <c r="I5" s="211">
        <v>-0.10781043932565829</v>
      </c>
    </row>
    <row r="6" spans="1:9" ht="15" customHeight="1" x14ac:dyDescent="0.2">
      <c r="A6" s="279" t="s">
        <v>527</v>
      </c>
      <c r="B6" s="179">
        <v>1</v>
      </c>
      <c r="C6" s="179" t="s">
        <v>521</v>
      </c>
      <c r="D6" s="183">
        <v>0</v>
      </c>
      <c r="E6" s="183">
        <v>3986</v>
      </c>
      <c r="F6" s="210">
        <v>-5.9094115308872937</v>
      </c>
      <c r="G6" s="211">
        <v>-0.11999497114763917</v>
      </c>
      <c r="H6" s="211">
        <v>-0.11999497114763917</v>
      </c>
      <c r="I6" s="211">
        <v>-8.3462425512559862E-2</v>
      </c>
    </row>
    <row r="7" spans="1:9" ht="15" customHeight="1" x14ac:dyDescent="0.2">
      <c r="A7" s="280"/>
      <c r="B7" s="179">
        <v>2</v>
      </c>
      <c r="C7" s="179" t="s">
        <v>521</v>
      </c>
      <c r="D7" s="183">
        <v>3986</v>
      </c>
      <c r="E7" s="183">
        <v>13677</v>
      </c>
      <c r="F7" s="210">
        <v>-5.9094115308872937</v>
      </c>
      <c r="G7" s="211">
        <v>-0.9662252261009332</v>
      </c>
      <c r="H7" s="211">
        <v>-0.9662252261009332</v>
      </c>
      <c r="I7" s="211">
        <v>-8.3462425512559862E-2</v>
      </c>
    </row>
    <row r="8" spans="1:9" ht="15" customHeight="1" x14ac:dyDescent="0.2">
      <c r="A8" s="280"/>
      <c r="B8" s="179">
        <v>3</v>
      </c>
      <c r="C8" s="179" t="s">
        <v>521</v>
      </c>
      <c r="D8" s="183">
        <v>13677</v>
      </c>
      <c r="E8" s="183">
        <v>27543</v>
      </c>
      <c r="F8" s="210">
        <v>-5.9094115308872937</v>
      </c>
      <c r="G8" s="211">
        <v>-1.276928171901422</v>
      </c>
      <c r="H8" s="211">
        <v>-1.1304449621677095</v>
      </c>
      <c r="I8" s="211">
        <v>-8.3462425512559862E-2</v>
      </c>
    </row>
    <row r="9" spans="1:9" ht="15" customHeight="1" x14ac:dyDescent="0.2">
      <c r="A9" s="281"/>
      <c r="B9" s="179">
        <v>4</v>
      </c>
      <c r="C9" s="179" t="s">
        <v>521</v>
      </c>
      <c r="D9" s="183">
        <v>27543</v>
      </c>
      <c r="E9" s="183" t="s">
        <v>523</v>
      </c>
      <c r="F9" s="210">
        <v>-5.9094115308872937</v>
      </c>
      <c r="G9" s="211">
        <v>-1.6787005117286526</v>
      </c>
      <c r="H9" s="211">
        <v>-1.1304449621677095</v>
      </c>
      <c r="I9" s="211">
        <v>-8.3462425512559862E-2</v>
      </c>
    </row>
    <row r="10" spans="1:9" ht="15" customHeight="1" x14ac:dyDescent="0.2">
      <c r="A10" s="279" t="s">
        <v>530</v>
      </c>
      <c r="B10" s="179">
        <v>1</v>
      </c>
      <c r="C10" s="179" t="s">
        <v>522</v>
      </c>
      <c r="D10" s="183">
        <v>0</v>
      </c>
      <c r="E10" s="183">
        <v>90</v>
      </c>
      <c r="F10" s="210">
        <v>-12.207098366575005</v>
      </c>
      <c r="G10" s="211">
        <v>-2.7532510572542979</v>
      </c>
      <c r="H10" s="211">
        <v>-0.59937425597426264</v>
      </c>
      <c r="I10" s="211">
        <v>-3.2577639995765538E-2</v>
      </c>
    </row>
    <row r="11" spans="1:9" ht="15" customHeight="1" x14ac:dyDescent="0.2">
      <c r="A11" s="280"/>
      <c r="B11" s="179">
        <v>2</v>
      </c>
      <c r="C11" s="179" t="s">
        <v>522</v>
      </c>
      <c r="D11" s="183">
        <v>90</v>
      </c>
      <c r="E11" s="183">
        <v>150</v>
      </c>
      <c r="F11" s="210">
        <v>-12.207098366575005</v>
      </c>
      <c r="G11" s="211">
        <v>-2.8179091602099651</v>
      </c>
      <c r="H11" s="211">
        <v>-0.59937425597426264</v>
      </c>
      <c r="I11" s="211">
        <v>-3.2577639995765538E-2</v>
      </c>
    </row>
    <row r="12" spans="1:9" ht="15" customHeight="1" x14ac:dyDescent="0.2">
      <c r="A12" s="280"/>
      <c r="B12" s="179">
        <v>3</v>
      </c>
      <c r="C12" s="179" t="s">
        <v>522</v>
      </c>
      <c r="D12" s="183">
        <v>150</v>
      </c>
      <c r="E12" s="183">
        <v>250</v>
      </c>
      <c r="F12" s="210">
        <v>-12.207098366575005</v>
      </c>
      <c r="G12" s="211">
        <v>-2.8759502065967881</v>
      </c>
      <c r="H12" s="211">
        <v>-0.59937425597426264</v>
      </c>
      <c r="I12" s="211">
        <v>-3.2577639995765538E-2</v>
      </c>
    </row>
    <row r="13" spans="1:9" ht="15" customHeight="1" x14ac:dyDescent="0.2">
      <c r="A13" s="281"/>
      <c r="B13" s="179">
        <v>4</v>
      </c>
      <c r="C13" s="179" t="s">
        <v>522</v>
      </c>
      <c r="D13" s="183">
        <v>250</v>
      </c>
      <c r="E13" s="183" t="s">
        <v>523</v>
      </c>
      <c r="F13" s="210">
        <v>-12.207098366575005</v>
      </c>
      <c r="G13" s="211">
        <v>-2.9477088673208343</v>
      </c>
      <c r="H13" s="211">
        <v>-0.59937425597426264</v>
      </c>
      <c r="I13" s="211">
        <v>-3.2577639995765538E-2</v>
      </c>
    </row>
    <row r="14" spans="1:9" ht="15" customHeight="1" x14ac:dyDescent="0.2">
      <c r="A14" s="279" t="s">
        <v>529</v>
      </c>
      <c r="B14" s="179">
        <v>1</v>
      </c>
      <c r="C14" s="179" t="s">
        <v>522</v>
      </c>
      <c r="D14" s="183">
        <v>0</v>
      </c>
      <c r="E14" s="183">
        <v>500</v>
      </c>
      <c r="F14" s="210">
        <v>-129.42482294331731</v>
      </c>
      <c r="G14" s="211">
        <v>-3.0674114645519213</v>
      </c>
      <c r="H14" s="211">
        <v>-0.44576703301991616</v>
      </c>
      <c r="I14" s="211">
        <v>-2.5715094586043687E-2</v>
      </c>
    </row>
    <row r="15" spans="1:9" ht="15" customHeight="1" x14ac:dyDescent="0.2">
      <c r="A15" s="280"/>
      <c r="B15" s="179">
        <v>2</v>
      </c>
      <c r="C15" s="179" t="s">
        <v>522</v>
      </c>
      <c r="D15" s="183">
        <v>500</v>
      </c>
      <c r="E15" s="183">
        <v>1100</v>
      </c>
      <c r="F15" s="210">
        <v>-129.42482294331731</v>
      </c>
      <c r="G15" s="211">
        <v>-3.2643898017655526</v>
      </c>
      <c r="H15" s="211">
        <v>-0.44576703301991616</v>
      </c>
      <c r="I15" s="211">
        <v>-2.5715094586043687E-2</v>
      </c>
    </row>
    <row r="16" spans="1:9" ht="15" customHeight="1" x14ac:dyDescent="0.2">
      <c r="A16" s="280"/>
      <c r="B16" s="179">
        <v>3</v>
      </c>
      <c r="C16" s="179" t="s">
        <v>522</v>
      </c>
      <c r="D16" s="183">
        <v>1100</v>
      </c>
      <c r="E16" s="183">
        <v>2000</v>
      </c>
      <c r="F16" s="210">
        <v>-129.42482294331731</v>
      </c>
      <c r="G16" s="211">
        <v>-3.1831088787832602</v>
      </c>
      <c r="H16" s="211">
        <v>-0.44576703301991616</v>
      </c>
      <c r="I16" s="211">
        <v>-2.5715094586043687E-2</v>
      </c>
    </row>
    <row r="17" spans="1:9" ht="15" customHeight="1" x14ac:dyDescent="0.2">
      <c r="A17" s="281"/>
      <c r="B17" s="179">
        <v>4</v>
      </c>
      <c r="C17" s="179" t="s">
        <v>522</v>
      </c>
      <c r="D17" s="183">
        <v>2000</v>
      </c>
      <c r="E17" s="183" t="s">
        <v>523</v>
      </c>
      <c r="F17" s="210">
        <v>-129.42482294331731</v>
      </c>
      <c r="G17" s="211">
        <v>-3.2478134973859696</v>
      </c>
      <c r="H17" s="211">
        <v>-0.44576703301991616</v>
      </c>
      <c r="I17" s="211">
        <v>-2.5715094586043687E-2</v>
      </c>
    </row>
    <row r="18" spans="1:9" ht="15" customHeight="1" x14ac:dyDescent="0.2">
      <c r="A18" s="282" t="s">
        <v>528</v>
      </c>
      <c r="B18" s="179">
        <v>1</v>
      </c>
      <c r="C18" s="179" t="s">
        <v>522</v>
      </c>
      <c r="D18" s="183">
        <v>0</v>
      </c>
      <c r="E18" s="183">
        <v>3500</v>
      </c>
      <c r="F18" s="210">
        <v>975.67010021377337</v>
      </c>
      <c r="G18" s="210"/>
      <c r="H18" s="211"/>
      <c r="I18" s="211"/>
    </row>
    <row r="19" spans="1:9" ht="15" customHeight="1" x14ac:dyDescent="0.2">
      <c r="A19" s="283"/>
      <c r="B19" s="179">
        <v>2</v>
      </c>
      <c r="C19" s="179" t="s">
        <v>522</v>
      </c>
      <c r="D19" s="183">
        <v>3500</v>
      </c>
      <c r="E19" s="183">
        <v>11000</v>
      </c>
      <c r="F19" s="210">
        <v>10677.011118338023</v>
      </c>
      <c r="G19" s="210"/>
      <c r="H19" s="211"/>
      <c r="I19" s="211"/>
    </row>
    <row r="20" spans="1:9" ht="15" customHeight="1" x14ac:dyDescent="0.2">
      <c r="A20" s="283"/>
      <c r="B20" s="179">
        <v>3</v>
      </c>
      <c r="C20" s="179" t="s">
        <v>522</v>
      </c>
      <c r="D20" s="183">
        <v>11000</v>
      </c>
      <c r="E20" s="183">
        <v>20000</v>
      </c>
      <c r="F20" s="210">
        <v>28207.126885145542</v>
      </c>
      <c r="G20" s="210"/>
      <c r="H20" s="211"/>
      <c r="I20" s="211"/>
    </row>
    <row r="21" spans="1:9" ht="15" customHeight="1" x14ac:dyDescent="0.2">
      <c r="A21" s="284"/>
      <c r="B21" s="179">
        <v>4</v>
      </c>
      <c r="C21" s="179" t="s">
        <v>522</v>
      </c>
      <c r="D21" s="183">
        <v>20000</v>
      </c>
      <c r="E21" s="183" t="s">
        <v>523</v>
      </c>
      <c r="F21" s="210">
        <v>68626.324498399976</v>
      </c>
      <c r="G21" s="210"/>
      <c r="H21" s="211"/>
      <c r="I21" s="211"/>
    </row>
    <row r="22" spans="1:9" x14ac:dyDescent="0.2">
      <c r="A22" t="s">
        <v>526</v>
      </c>
    </row>
    <row r="23" spans="1:9" ht="28.5" customHeight="1" x14ac:dyDescent="0.2">
      <c r="A23" s="278" t="s">
        <v>670</v>
      </c>
      <c r="B23" s="278"/>
      <c r="C23" s="278"/>
      <c r="D23" s="278"/>
      <c r="E23" s="278"/>
      <c r="F23" s="278"/>
      <c r="G23" s="278"/>
      <c r="H23" s="278"/>
      <c r="I23" s="278"/>
    </row>
  </sheetData>
  <mergeCells count="6">
    <mergeCell ref="A23:I23"/>
    <mergeCell ref="A2:I2"/>
    <mergeCell ref="A10:A13"/>
    <mergeCell ref="A14:A17"/>
    <mergeCell ref="A18:A21"/>
    <mergeCell ref="A6:A9"/>
  </mergeCells>
  <hyperlinks>
    <hyperlink ref="A1" location="Overview!A1" display="Back to Overview" xr:uid="{00000000-0004-0000-0C00-000000000000}"/>
  </hyperlinks>
  <pageMargins left="0.7" right="0.7" top="0.75" bottom="0.75" header="0.3" footer="0.3"/>
  <pageSetup paperSize="9" scale="6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90" zoomScaleNormal="90" workbookViewId="0"/>
  </sheetViews>
  <sheetFormatPr defaultRowHeight="12.75" x14ac:dyDescent="0.2"/>
  <cols>
    <col min="1" max="1" width="44.85546875" customWidth="1"/>
    <col min="2" max="2" width="38.28515625" customWidth="1"/>
  </cols>
  <sheetData>
    <row r="1" spans="1:2" x14ac:dyDescent="0.2">
      <c r="A1" s="156" t="s">
        <v>16</v>
      </c>
    </row>
    <row r="2" spans="1:2" ht="33" customHeight="1" x14ac:dyDescent="0.2">
      <c r="A2" s="250" t="str">
        <f>Overview!C4&amp;" - Effective from "&amp;Overview!D4&amp;" - "&amp;Overview!F4&amp;" TNUoS Mapping"</f>
        <v>2027/28 - Effective from 1 April 2027 -  TNUoS Mapping</v>
      </c>
      <c r="B2" s="252"/>
    </row>
    <row r="3" spans="1:2" ht="8.25" customHeight="1" x14ac:dyDescent="0.2"/>
    <row r="4" spans="1:2" ht="20.25" customHeight="1" x14ac:dyDescent="0.2">
      <c r="A4" s="177" t="s">
        <v>580</v>
      </c>
      <c r="B4" s="177" t="s">
        <v>581</v>
      </c>
    </row>
    <row r="5" spans="1:2" ht="15.75" customHeight="1" x14ac:dyDescent="0.2">
      <c r="A5" s="190" t="s">
        <v>579</v>
      </c>
      <c r="B5" s="190" t="s">
        <v>582</v>
      </c>
    </row>
    <row r="6" spans="1:2" ht="15.75" customHeight="1" x14ac:dyDescent="0.2">
      <c r="A6" s="191" t="s">
        <v>403</v>
      </c>
      <c r="B6" s="191" t="s">
        <v>583</v>
      </c>
    </row>
    <row r="7" spans="1:2" ht="15.75" customHeight="1" x14ac:dyDescent="0.2">
      <c r="A7" s="191" t="s">
        <v>532</v>
      </c>
      <c r="B7" s="191" t="str">
        <f>$B$6</f>
        <v>n/a (Non-Final Demand Site)</v>
      </c>
    </row>
    <row r="8" spans="1:2" ht="15.75" customHeight="1" x14ac:dyDescent="0.2">
      <c r="A8" s="190" t="s">
        <v>533</v>
      </c>
      <c r="B8" s="190" t="s">
        <v>584</v>
      </c>
    </row>
    <row r="9" spans="1:2" ht="15.75" customHeight="1" x14ac:dyDescent="0.2">
      <c r="A9" s="190" t="s">
        <v>534</v>
      </c>
      <c r="B9" s="190" t="s">
        <v>585</v>
      </c>
    </row>
    <row r="10" spans="1:2" ht="15.75" customHeight="1" x14ac:dyDescent="0.2">
      <c r="A10" s="190" t="s">
        <v>535</v>
      </c>
      <c r="B10" s="190" t="s">
        <v>586</v>
      </c>
    </row>
    <row r="11" spans="1:2" ht="15.75" customHeight="1" x14ac:dyDescent="0.2">
      <c r="A11" s="190" t="s">
        <v>536</v>
      </c>
      <c r="B11" s="190" t="s">
        <v>587</v>
      </c>
    </row>
    <row r="12" spans="1:2" ht="15.75" customHeight="1" x14ac:dyDescent="0.2">
      <c r="A12" s="191" t="s">
        <v>130</v>
      </c>
      <c r="B12" s="191" t="str">
        <f t="shared" ref="B12:B13" si="0">$B$6</f>
        <v>n/a (Non-Final Demand Site)</v>
      </c>
    </row>
    <row r="13" spans="1:2" ht="15.75" customHeight="1" x14ac:dyDescent="0.2">
      <c r="A13" s="191" t="s">
        <v>404</v>
      </c>
      <c r="B13" s="191" t="str">
        <f t="shared" si="0"/>
        <v>n/a (Non-Final Demand Site)</v>
      </c>
    </row>
    <row r="14" spans="1:2" ht="15.75" customHeight="1" x14ac:dyDescent="0.2">
      <c r="A14" s="190" t="s">
        <v>405</v>
      </c>
      <c r="B14" s="190" t="s">
        <v>588</v>
      </c>
    </row>
    <row r="15" spans="1:2" ht="15.75" customHeight="1" x14ac:dyDescent="0.2">
      <c r="A15" s="190" t="s">
        <v>406</v>
      </c>
      <c r="B15" s="190" t="s">
        <v>589</v>
      </c>
    </row>
    <row r="16" spans="1:2" ht="15.75" customHeight="1" x14ac:dyDescent="0.2">
      <c r="A16" s="190" t="s">
        <v>407</v>
      </c>
      <c r="B16" s="190" t="s">
        <v>590</v>
      </c>
    </row>
    <row r="17" spans="1:2" ht="15.75" customHeight="1" x14ac:dyDescent="0.2">
      <c r="A17" s="190" t="s">
        <v>408</v>
      </c>
      <c r="B17" s="190" t="s">
        <v>591</v>
      </c>
    </row>
    <row r="18" spans="1:2" ht="15.75" customHeight="1" x14ac:dyDescent="0.2">
      <c r="A18" s="191" t="s">
        <v>409</v>
      </c>
      <c r="B18" s="191" t="str">
        <f>$B$6</f>
        <v>n/a (Non-Final Demand Site)</v>
      </c>
    </row>
    <row r="19" spans="1:2" ht="15.75" customHeight="1" x14ac:dyDescent="0.2">
      <c r="A19" s="190" t="s">
        <v>410</v>
      </c>
      <c r="B19" s="190" t="s">
        <v>588</v>
      </c>
    </row>
    <row r="20" spans="1:2" ht="15.75" customHeight="1" x14ac:dyDescent="0.2">
      <c r="A20" s="190" t="s">
        <v>411</v>
      </c>
      <c r="B20" s="190" t="s">
        <v>589</v>
      </c>
    </row>
    <row r="21" spans="1:2" ht="15.75" customHeight="1" x14ac:dyDescent="0.2">
      <c r="A21" s="190" t="s">
        <v>412</v>
      </c>
      <c r="B21" s="190" t="s">
        <v>590</v>
      </c>
    </row>
    <row r="22" spans="1:2" ht="15.75" customHeight="1" x14ac:dyDescent="0.2">
      <c r="A22" s="190" t="s">
        <v>413</v>
      </c>
      <c r="B22" s="190" t="s">
        <v>591</v>
      </c>
    </row>
    <row r="23" spans="1:2" ht="15.75" customHeight="1" x14ac:dyDescent="0.2">
      <c r="A23" s="191" t="s">
        <v>414</v>
      </c>
      <c r="B23" s="191" t="str">
        <f>$B$6</f>
        <v>n/a (Non-Final Demand Site)</v>
      </c>
    </row>
    <row r="24" spans="1:2" ht="15.75" customHeight="1" x14ac:dyDescent="0.2">
      <c r="A24" s="190" t="s">
        <v>415</v>
      </c>
      <c r="B24" s="190" t="s">
        <v>592</v>
      </c>
    </row>
    <row r="25" spans="1:2" ht="15.75" customHeight="1" x14ac:dyDescent="0.2">
      <c r="A25" s="190" t="s">
        <v>416</v>
      </c>
      <c r="B25" s="190" t="s">
        <v>593</v>
      </c>
    </row>
    <row r="26" spans="1:2" ht="15.75" customHeight="1" x14ac:dyDescent="0.2">
      <c r="A26" s="190" t="s">
        <v>417</v>
      </c>
      <c r="B26" s="190" t="s">
        <v>594</v>
      </c>
    </row>
    <row r="27" spans="1:2" ht="15.75" customHeight="1" x14ac:dyDescent="0.2">
      <c r="A27" s="190" t="s">
        <v>418</v>
      </c>
      <c r="B27" s="190" t="s">
        <v>595</v>
      </c>
    </row>
    <row r="28" spans="1:2" ht="15.75" customHeight="1" x14ac:dyDescent="0.2">
      <c r="A28" s="191" t="s">
        <v>131</v>
      </c>
      <c r="B28" s="191" t="s">
        <v>596</v>
      </c>
    </row>
    <row r="29" spans="1:2" ht="15.75" customHeight="1" x14ac:dyDescent="0.2">
      <c r="A29" s="191" t="s">
        <v>132</v>
      </c>
      <c r="B29" s="191" t="str">
        <f t="shared" ref="B29:B37" si="1">$B$6</f>
        <v>n/a (Non-Final Demand Site)</v>
      </c>
    </row>
    <row r="30" spans="1:2" ht="15.75" customHeight="1" x14ac:dyDescent="0.2">
      <c r="A30" s="191" t="s">
        <v>133</v>
      </c>
      <c r="B30" s="191" t="str">
        <f t="shared" si="1"/>
        <v>n/a (Non-Final Demand Site)</v>
      </c>
    </row>
    <row r="31" spans="1:2" ht="15.75" customHeight="1" x14ac:dyDescent="0.2">
      <c r="A31" s="191" t="s">
        <v>134</v>
      </c>
      <c r="B31" s="191" t="str">
        <f t="shared" si="1"/>
        <v>n/a (Non-Final Demand Site)</v>
      </c>
    </row>
    <row r="32" spans="1:2" ht="15.75" customHeight="1" x14ac:dyDescent="0.2">
      <c r="A32" s="191" t="s">
        <v>135</v>
      </c>
      <c r="B32" s="191" t="str">
        <f t="shared" si="1"/>
        <v>n/a (Non-Final Demand Site)</v>
      </c>
    </row>
    <row r="33" spans="1:2" ht="15.75" customHeight="1" x14ac:dyDescent="0.2">
      <c r="A33" s="191" t="s">
        <v>136</v>
      </c>
      <c r="B33" s="191" t="str">
        <f t="shared" si="1"/>
        <v>n/a (Non-Final Demand Site)</v>
      </c>
    </row>
    <row r="34" spans="1:2" ht="15.75" customHeight="1" x14ac:dyDescent="0.2">
      <c r="A34" s="191" t="s">
        <v>137</v>
      </c>
      <c r="B34" s="191" t="str">
        <f t="shared" si="1"/>
        <v>n/a (Non-Final Demand Site)</v>
      </c>
    </row>
    <row r="35" spans="1:2" ht="15.75" customHeight="1" x14ac:dyDescent="0.2">
      <c r="A35" s="191" t="s">
        <v>138</v>
      </c>
      <c r="B35" s="191" t="str">
        <f t="shared" si="1"/>
        <v>n/a (Non-Final Demand Site)</v>
      </c>
    </row>
    <row r="36" spans="1:2" ht="15.75" customHeight="1" x14ac:dyDescent="0.2">
      <c r="A36" s="191" t="s">
        <v>139</v>
      </c>
      <c r="B36" s="191" t="str">
        <f t="shared" si="1"/>
        <v>n/a (Non-Final Demand Site)</v>
      </c>
    </row>
    <row r="37" spans="1:2" ht="15.75" customHeight="1" x14ac:dyDescent="0.2">
      <c r="A37" s="191" t="s">
        <v>601</v>
      </c>
      <c r="B37" s="191" t="str">
        <f t="shared" si="1"/>
        <v>n/a (Non-Final Demand Site)</v>
      </c>
    </row>
    <row r="38" spans="1:2" ht="15.75" customHeight="1" x14ac:dyDescent="0.2">
      <c r="A38" s="190" t="s">
        <v>602</v>
      </c>
      <c r="B38" s="190" t="s">
        <v>597</v>
      </c>
    </row>
    <row r="39" spans="1:2" ht="15.75" customHeight="1" x14ac:dyDescent="0.2">
      <c r="A39" s="190" t="s">
        <v>603</v>
      </c>
      <c r="B39" s="190" t="s">
        <v>598</v>
      </c>
    </row>
    <row r="40" spans="1:2" ht="15.75" customHeight="1" x14ac:dyDescent="0.2">
      <c r="A40" s="190" t="s">
        <v>604</v>
      </c>
      <c r="B40" s="190" t="s">
        <v>599</v>
      </c>
    </row>
    <row r="41" spans="1:2" ht="15.75" customHeight="1" x14ac:dyDescent="0.2">
      <c r="A41" s="190" t="s">
        <v>605</v>
      </c>
      <c r="B41" s="190" t="s">
        <v>600</v>
      </c>
    </row>
  </sheetData>
  <mergeCells count="1">
    <mergeCell ref="A2:B2"/>
  </mergeCells>
  <hyperlinks>
    <hyperlink ref="A1" location="Overview!A1" display="Back to Overview" xr:uid="{564C6D85-AEA0-441E-B605-C50AC13976D7}"/>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X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8.42578125" customWidth="1"/>
    <col min="29" max="29" width="14.5703125" hidden="1" customWidth="1"/>
    <col min="30" max="36" width="9.140625" hidden="1" customWidth="1"/>
  </cols>
  <sheetData>
    <row r="1" spans="1:154" x14ac:dyDescent="0.2">
      <c r="B1" s="94" t="s">
        <v>16</v>
      </c>
    </row>
    <row r="2" spans="1:154" s="2" customFormat="1" ht="21.75" customHeight="1" x14ac:dyDescent="0.2">
      <c r="B2" s="285" t="str">
        <f>Overview!B4&amp; " - Effective from "&amp;Overview!D4&amp;" - "&amp;Overview!E4</f>
        <v>London Power Networks - Effective from 1 April 2027 - Final</v>
      </c>
      <c r="C2" s="286"/>
      <c r="D2" s="286"/>
      <c r="E2" s="286"/>
      <c r="F2" s="286"/>
      <c r="G2" s="286"/>
      <c r="H2" s="286"/>
      <c r="I2" s="286"/>
      <c r="J2" s="286"/>
      <c r="K2" s="286"/>
      <c r="L2" s="286"/>
      <c r="M2" s="286"/>
      <c r="N2" s="286"/>
      <c r="O2" s="286"/>
      <c r="P2" s="286"/>
      <c r="Q2" s="286"/>
      <c r="R2" s="286"/>
      <c r="S2" s="286"/>
      <c r="T2" s="287"/>
      <c r="U2"/>
      <c r="V2"/>
      <c r="W2"/>
      <c r="X2"/>
      <c r="Y2"/>
      <c r="Z2"/>
      <c r="AA2"/>
      <c r="AB2"/>
      <c r="AC2" s="27" t="s">
        <v>117</v>
      </c>
      <c r="AD2" s="55" t="s">
        <v>142</v>
      </c>
      <c r="AE2" s="55" t="s">
        <v>144</v>
      </c>
      <c r="AF2" s="55" t="s">
        <v>143</v>
      </c>
      <c r="AG2" s="14" t="s">
        <v>21</v>
      </c>
      <c r="AH2" s="14" t="s">
        <v>22</v>
      </c>
      <c r="AI2" s="27" t="s">
        <v>118</v>
      </c>
      <c r="AJ2" s="14" t="s">
        <v>28</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0" customFormat="1" ht="9" customHeight="1" x14ac:dyDescent="0.2">
      <c r="A3" s="109"/>
      <c r="B3" s="109"/>
      <c r="C3" s="109"/>
      <c r="D3" s="109"/>
      <c r="E3" s="109"/>
      <c r="F3" s="109"/>
      <c r="G3" s="109"/>
      <c r="H3" s="109"/>
      <c r="I3" s="109"/>
      <c r="J3" s="109"/>
      <c r="K3" s="109"/>
      <c r="L3"/>
      <c r="M3"/>
      <c r="N3"/>
      <c r="O3"/>
      <c r="P3"/>
      <c r="Q3"/>
      <c r="R3"/>
      <c r="S3"/>
      <c r="T3"/>
      <c r="U3"/>
      <c r="V3"/>
      <c r="W3"/>
      <c r="X3"/>
      <c r="Y3"/>
      <c r="Z3"/>
      <c r="AA3"/>
      <c r="AB3"/>
      <c r="AC3" s="16" t="s">
        <v>579</v>
      </c>
      <c r="AD3" s="143" t="s">
        <v>148</v>
      </c>
      <c r="AE3" s="144" t="s">
        <v>150</v>
      </c>
      <c r="AF3" s="145" t="s">
        <v>143</v>
      </c>
      <c r="AG3" s="151" t="s">
        <v>152</v>
      </c>
      <c r="AH3" s="146" t="s">
        <v>155</v>
      </c>
      <c r="AI3" s="146" t="s">
        <v>155</v>
      </c>
      <c r="AJ3" s="147" t="s">
        <v>155</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91" t="s">
        <v>146</v>
      </c>
      <c r="C4" s="292"/>
      <c r="D4" s="292"/>
      <c r="E4" s="292"/>
      <c r="F4" s="292"/>
      <c r="G4" s="292"/>
      <c r="H4" s="292"/>
      <c r="I4" s="293"/>
      <c r="L4" s="291" t="s">
        <v>147</v>
      </c>
      <c r="M4" s="292"/>
      <c r="N4" s="292"/>
      <c r="O4" s="292"/>
      <c r="P4" s="292"/>
      <c r="Q4" s="292"/>
      <c r="R4" s="292"/>
      <c r="S4" s="292"/>
      <c r="T4" s="293"/>
      <c r="AC4" s="16" t="s">
        <v>403</v>
      </c>
      <c r="AD4" s="143" t="s">
        <v>148</v>
      </c>
      <c r="AE4" s="144" t="s">
        <v>150</v>
      </c>
      <c r="AF4" s="145" t="s">
        <v>143</v>
      </c>
      <c r="AG4" s="146" t="s">
        <v>155</v>
      </c>
      <c r="AH4" s="146" t="s">
        <v>155</v>
      </c>
      <c r="AI4" s="146" t="s">
        <v>155</v>
      </c>
      <c r="AJ4" s="147" t="s">
        <v>155</v>
      </c>
    </row>
    <row r="5" spans="1:154" ht="27.75" customHeight="1" x14ac:dyDescent="0.2">
      <c r="B5" s="294" t="s">
        <v>95</v>
      </c>
      <c r="C5" s="294"/>
      <c r="D5" s="294"/>
      <c r="E5" s="294"/>
      <c r="F5" s="294"/>
      <c r="G5" s="294"/>
      <c r="H5" s="294"/>
      <c r="I5" s="294"/>
      <c r="L5" s="224" t="s">
        <v>647</v>
      </c>
      <c r="M5" s="224"/>
      <c r="N5" s="224"/>
      <c r="O5" s="224"/>
      <c r="P5" s="224"/>
      <c r="Q5" s="224"/>
      <c r="R5" s="224"/>
      <c r="S5" s="224"/>
      <c r="T5" s="224"/>
      <c r="AC5" s="16" t="s">
        <v>532</v>
      </c>
      <c r="AD5" s="143" t="s">
        <v>148</v>
      </c>
      <c r="AE5" s="144" t="s">
        <v>150</v>
      </c>
      <c r="AF5" s="145" t="s">
        <v>143</v>
      </c>
      <c r="AG5" s="151" t="s">
        <v>152</v>
      </c>
      <c r="AH5" s="146" t="s">
        <v>155</v>
      </c>
      <c r="AI5" s="146" t="s">
        <v>155</v>
      </c>
      <c r="AJ5" s="147" t="s">
        <v>155</v>
      </c>
    </row>
    <row r="6" spans="1:154" s="111" customFormat="1" ht="27.75" customHeight="1" x14ac:dyDescent="0.2">
      <c r="B6" s="224" t="s">
        <v>644</v>
      </c>
      <c r="C6" s="224"/>
      <c r="D6" s="224"/>
      <c r="E6" s="224"/>
      <c r="F6" s="224"/>
      <c r="G6" s="224"/>
      <c r="H6" s="224"/>
      <c r="I6" s="224"/>
      <c r="L6" s="224" t="s">
        <v>645</v>
      </c>
      <c r="M6" s="224"/>
      <c r="N6" s="224"/>
      <c r="O6" s="224"/>
      <c r="P6" s="224"/>
      <c r="Q6" s="224"/>
      <c r="R6" s="224"/>
      <c r="S6" s="224"/>
      <c r="T6" s="224"/>
      <c r="AB6"/>
      <c r="AC6" s="16" t="s">
        <v>533</v>
      </c>
      <c r="AD6" s="143" t="s">
        <v>148</v>
      </c>
      <c r="AE6" s="144" t="s">
        <v>150</v>
      </c>
      <c r="AF6" s="145" t="s">
        <v>143</v>
      </c>
      <c r="AG6" s="151" t="s">
        <v>152</v>
      </c>
      <c r="AH6" s="146" t="s">
        <v>155</v>
      </c>
      <c r="AI6" s="146" t="s">
        <v>155</v>
      </c>
      <c r="AJ6" s="147" t="s">
        <v>155</v>
      </c>
    </row>
    <row r="7" spans="1:154" ht="18" customHeight="1" x14ac:dyDescent="0.2">
      <c r="B7" s="294" t="s">
        <v>96</v>
      </c>
      <c r="C7" s="294"/>
      <c r="D7" s="294"/>
      <c r="E7" s="294"/>
      <c r="F7" s="294"/>
      <c r="G7" s="294"/>
      <c r="H7" s="294"/>
      <c r="I7" s="294"/>
      <c r="L7" s="294" t="s">
        <v>97</v>
      </c>
      <c r="M7" s="294"/>
      <c r="N7" s="294"/>
      <c r="O7" s="294"/>
      <c r="P7" s="294"/>
      <c r="Q7" s="294"/>
      <c r="R7" s="294"/>
      <c r="S7" s="294"/>
      <c r="T7" s="294"/>
      <c r="AC7" s="16" t="s">
        <v>534</v>
      </c>
      <c r="AD7" s="143" t="s">
        <v>148</v>
      </c>
      <c r="AE7" s="144" t="s">
        <v>150</v>
      </c>
      <c r="AF7" s="145" t="s">
        <v>143</v>
      </c>
      <c r="AG7" s="151" t="s">
        <v>152</v>
      </c>
      <c r="AH7" s="146" t="s">
        <v>155</v>
      </c>
      <c r="AI7" s="146" t="s">
        <v>155</v>
      </c>
      <c r="AJ7" s="147" t="s">
        <v>155</v>
      </c>
    </row>
    <row r="8" spans="1:154" ht="8.25" customHeight="1" x14ac:dyDescent="0.2">
      <c r="AC8" s="16" t="s">
        <v>535</v>
      </c>
      <c r="AD8" s="143" t="s">
        <v>148</v>
      </c>
      <c r="AE8" s="144" t="s">
        <v>150</v>
      </c>
      <c r="AF8" s="145" t="s">
        <v>143</v>
      </c>
      <c r="AG8" s="151" t="s">
        <v>152</v>
      </c>
      <c r="AH8" s="146" t="s">
        <v>155</v>
      </c>
      <c r="AI8" s="146" t="s">
        <v>155</v>
      </c>
      <c r="AJ8" s="147" t="s">
        <v>155</v>
      </c>
    </row>
    <row r="9" spans="1:154" ht="72" customHeight="1" x14ac:dyDescent="0.2">
      <c r="B9" s="112" t="s">
        <v>98</v>
      </c>
      <c r="C9" s="113" t="str">
        <f t="shared" ref="C9:I9" si="0">IFERROR(_xlfn.XLOOKUP($B$10,$AC$2:$AC$34,AD$2:AD$34),AD2)</f>
        <v>Red/black unit charge
p/kWh</v>
      </c>
      <c r="D9" s="113" t="str">
        <f t="shared" si="0"/>
        <v>Amber/yellow unit charge
p/kWh</v>
      </c>
      <c r="E9" s="113" t="str">
        <f t="shared" si="0"/>
        <v>Green unit charge
p/kWh</v>
      </c>
      <c r="F9" s="113" t="str">
        <f t="shared" si="0"/>
        <v>Fixed charge p/MPAN/day</v>
      </c>
      <c r="G9" s="113" t="str">
        <f t="shared" si="0"/>
        <v>Capacity charge p/kVA/day</v>
      </c>
      <c r="H9" s="113" t="str">
        <f t="shared" si="0"/>
        <v>Exceeded capacity charge
p/kVA/day</v>
      </c>
      <c r="I9" s="113" t="str">
        <f t="shared" si="0"/>
        <v>Reactive power charge
p/kVArh</v>
      </c>
      <c r="L9" s="112" t="s">
        <v>99</v>
      </c>
      <c r="M9" s="130" t="str">
        <f>'Annex 2 Designated EHV charges'!I10</f>
        <v>Import
Super Red
unit charge
(p/kWh)</v>
      </c>
      <c r="N9" s="130" t="str">
        <f>'Annex 2 Designated EHV charges'!J10</f>
        <v>Import
fixed charge
(p/day)</v>
      </c>
      <c r="O9" s="130" t="str">
        <f>'Annex 2 Designated EHV charges'!K10</f>
        <v>Import
capacity charge
(p/kVA/day)</v>
      </c>
      <c r="P9" s="130" t="str">
        <f>'Annex 2 Designated EHV charges'!L10</f>
        <v>Import
exceeded capacity charge
(p/kVA/day)</v>
      </c>
      <c r="Q9" s="131" t="str">
        <f>'Annex 2 Designated EHV charges'!M10</f>
        <v>Export
Super Red
unit charge
(p/kWh)</v>
      </c>
      <c r="R9" s="131" t="str">
        <f>'Annex 2 Designated EHV charges'!N10</f>
        <v>Export
fixed charge
(p/day)</v>
      </c>
      <c r="S9" s="131" t="str">
        <f>'Annex 2 Designated EHV charges'!O10</f>
        <v>Export
capacity charge
(p/kVA/day)</v>
      </c>
      <c r="T9" s="131" t="str">
        <f>'Annex 2 Designated EHV charges'!P10</f>
        <v>Export
exceeded capacity charge
(p/kVA/day)</v>
      </c>
      <c r="AC9" s="16" t="s">
        <v>536</v>
      </c>
      <c r="AD9" s="143" t="s">
        <v>148</v>
      </c>
      <c r="AE9" s="144" t="s">
        <v>150</v>
      </c>
      <c r="AF9" s="145" t="s">
        <v>143</v>
      </c>
      <c r="AG9" s="151" t="s">
        <v>152</v>
      </c>
      <c r="AH9" s="146" t="s">
        <v>155</v>
      </c>
      <c r="AI9" s="146" t="s">
        <v>155</v>
      </c>
      <c r="AJ9" s="147" t="s">
        <v>155</v>
      </c>
    </row>
    <row r="10" spans="1:154" ht="30" customHeight="1" x14ac:dyDescent="0.2">
      <c r="B10" s="103"/>
      <c r="C10" s="127" t="str">
        <f>IFERROR(VLOOKUP($B$10,'Annex 1 LV, HV and UMS charges'!$A:$K,4,FALSE),"")</f>
        <v/>
      </c>
      <c r="D10" s="128" t="str">
        <f>IFERROR(VLOOKUP($B$10,'Annex 1 LV, HV and UMS charges'!$A:$K,5,FALSE),"")</f>
        <v/>
      </c>
      <c r="E10" s="128" t="str">
        <f>IFERROR(VLOOKUP($B$10,'Annex 1 LV, HV and UMS charges'!$A:$K,6,FALSE),"")</f>
        <v/>
      </c>
      <c r="F10" s="105" t="str">
        <f>IFERROR(VLOOKUP($B$10,'Annex 1 LV, HV and UMS charges'!$A:$K,7,FALSE),"")</f>
        <v/>
      </c>
      <c r="G10" s="105" t="str">
        <f>IFERROR(VLOOKUP($B$10,'Annex 1 LV, HV and UMS charges'!$A:$K,8,FALSE),"")</f>
        <v/>
      </c>
      <c r="H10" s="105" t="str">
        <f>IFERROR(VLOOKUP($B$10,'Annex 1 LV, HV and UMS charges'!$A:$K,9,FALSE),"")</f>
        <v/>
      </c>
      <c r="I10" s="194" t="str">
        <f>IFERROR(VLOOKUP($B$10,'Annex 1 LV, HV and UMS charges'!$A:$K,10,FALSE),"")</f>
        <v/>
      </c>
      <c r="L10" s="103"/>
      <c r="M10" s="194">
        <f>IFERROR(_xlfn.XLOOKUP($L$10,'Annex 2 Designated EHV charges'!$G:$G,'Annex 2 Designated EHV charges'!I:I),"")</f>
        <v>0</v>
      </c>
      <c r="N10" s="105">
        <f>IFERROR(_xlfn.XLOOKUP($L$10,'Annex 2 Designated EHV charges'!$G:$G,'Annex 2 Designated EHV charges'!J:J),"")</f>
        <v>0</v>
      </c>
      <c r="O10" s="105">
        <f>IFERROR(_xlfn.XLOOKUP($L$10,'Annex 2 Designated EHV charges'!$G:$G,'Annex 2 Designated EHV charges'!K:K),"")</f>
        <v>0</v>
      </c>
      <c r="P10" s="105">
        <f>IFERROR(_xlfn.XLOOKUP($L$10,'Annex 2 Designated EHV charges'!$G:$G,'Annex 2 Designated EHV charges'!L:L),"")</f>
        <v>0</v>
      </c>
      <c r="Q10" s="195">
        <f>IFERROR(_xlfn.XLOOKUP($L$10,'Annex 2 Designated EHV charges'!$G:$G,'Annex 2 Designated EHV charges'!M:M),"")</f>
        <v>0</v>
      </c>
      <c r="R10" s="115">
        <f>IFERROR(_xlfn.XLOOKUP($L$10,'Annex 2 Designated EHV charges'!$G:$G,'Annex 2 Designated EHV charges'!N:N),"")</f>
        <v>0</v>
      </c>
      <c r="S10" s="115">
        <f>IFERROR(_xlfn.XLOOKUP($L$10,'Annex 2 Designated EHV charges'!$G:$G,'Annex 2 Designated EHV charges'!O:O),"")</f>
        <v>0</v>
      </c>
      <c r="T10" s="115">
        <f>IFERROR(_xlfn.XLOOKUP($L$10,'Annex 2 Designated EHV charges'!$G:$G,'Annex 2 Designated EHV charges'!P:P),"")</f>
        <v>0</v>
      </c>
      <c r="AC10" s="16" t="s">
        <v>130</v>
      </c>
      <c r="AD10" s="143" t="s">
        <v>148</v>
      </c>
      <c r="AE10" s="144" t="s">
        <v>150</v>
      </c>
      <c r="AF10" s="145" t="s">
        <v>143</v>
      </c>
      <c r="AG10" s="146" t="s">
        <v>155</v>
      </c>
      <c r="AH10" s="146" t="s">
        <v>155</v>
      </c>
      <c r="AI10" s="146" t="s">
        <v>155</v>
      </c>
      <c r="AJ10" s="147" t="s">
        <v>155</v>
      </c>
    </row>
    <row r="11" spans="1:154" ht="7.5" customHeight="1" x14ac:dyDescent="0.2">
      <c r="AC11" s="16" t="s">
        <v>404</v>
      </c>
      <c r="AD11" s="143" t="s">
        <v>148</v>
      </c>
      <c r="AE11" s="144" t="s">
        <v>150</v>
      </c>
      <c r="AF11" s="145" t="s">
        <v>143</v>
      </c>
      <c r="AG11" s="151" t="s">
        <v>152</v>
      </c>
      <c r="AH11" s="151" t="s">
        <v>153</v>
      </c>
      <c r="AI11" s="152" t="s">
        <v>154</v>
      </c>
      <c r="AJ11" s="193" t="s">
        <v>28</v>
      </c>
    </row>
    <row r="12" spans="1:154" ht="88.5" customHeight="1" x14ac:dyDescent="0.2">
      <c r="B12" s="116" t="s">
        <v>65</v>
      </c>
      <c r="C12" s="113" t="str">
        <f>C9</f>
        <v>Red/black unit charge
p/kWh</v>
      </c>
      <c r="D12" s="113" t="str">
        <f>D9</f>
        <v>Amber/yellow unit charge
p/kWh</v>
      </c>
      <c r="E12" s="113" t="str">
        <f>E9</f>
        <v>Green unit charge
p/kWh</v>
      </c>
      <c r="F12" s="113" t="s">
        <v>66</v>
      </c>
      <c r="G12" s="113" t="s">
        <v>63</v>
      </c>
      <c r="H12" s="113" t="s">
        <v>121</v>
      </c>
      <c r="I12" s="113" t="s">
        <v>64</v>
      </c>
      <c r="L12" s="116" t="s">
        <v>65</v>
      </c>
      <c r="M12" s="113" t="s">
        <v>85</v>
      </c>
      <c r="N12" s="113" t="s">
        <v>66</v>
      </c>
      <c r="O12" s="113" t="s">
        <v>81</v>
      </c>
      <c r="P12" s="113" t="s">
        <v>121</v>
      </c>
      <c r="Q12" s="114" t="s">
        <v>83</v>
      </c>
      <c r="R12" s="114" t="s">
        <v>66</v>
      </c>
      <c r="S12" s="114" t="s">
        <v>82</v>
      </c>
      <c r="T12" s="114" t="s">
        <v>121</v>
      </c>
      <c r="AC12" s="16" t="s">
        <v>405</v>
      </c>
      <c r="AD12" s="143" t="s">
        <v>148</v>
      </c>
      <c r="AE12" s="144" t="s">
        <v>150</v>
      </c>
      <c r="AF12" s="145" t="s">
        <v>143</v>
      </c>
      <c r="AG12" s="151" t="s">
        <v>152</v>
      </c>
      <c r="AH12" s="151" t="s">
        <v>153</v>
      </c>
      <c r="AI12" s="152" t="s">
        <v>154</v>
      </c>
      <c r="AJ12" s="193" t="s">
        <v>28</v>
      </c>
    </row>
    <row r="13" spans="1:154" ht="30" customHeight="1" x14ac:dyDescent="0.2">
      <c r="B13" s="117" t="s">
        <v>67</v>
      </c>
      <c r="C13" s="122"/>
      <c r="D13" s="122"/>
      <c r="E13" s="122"/>
      <c r="F13" s="122"/>
      <c r="G13" s="122"/>
      <c r="H13" s="122"/>
      <c r="I13" s="122"/>
      <c r="L13" s="117" t="s">
        <v>67</v>
      </c>
      <c r="M13" s="106"/>
      <c r="N13" s="106"/>
      <c r="O13" s="106"/>
      <c r="P13" s="106"/>
      <c r="Q13" s="107"/>
      <c r="R13" s="107">
        <f>N13</f>
        <v>0</v>
      </c>
      <c r="S13" s="107"/>
      <c r="T13" s="107"/>
      <c r="AC13" s="16" t="s">
        <v>406</v>
      </c>
      <c r="AD13" s="143" t="s">
        <v>148</v>
      </c>
      <c r="AE13" s="144" t="s">
        <v>150</v>
      </c>
      <c r="AF13" s="145" t="s">
        <v>143</v>
      </c>
      <c r="AG13" s="151" t="s">
        <v>152</v>
      </c>
      <c r="AH13" s="151" t="s">
        <v>153</v>
      </c>
      <c r="AI13" s="152" t="s">
        <v>154</v>
      </c>
      <c r="AJ13" s="193" t="s">
        <v>28</v>
      </c>
    </row>
    <row r="14" spans="1:154" ht="30" customHeight="1" x14ac:dyDescent="0.2">
      <c r="B14" s="118" t="s">
        <v>69</v>
      </c>
      <c r="C14" s="104">
        <f t="shared" ref="C14:I14" si="1">C13</f>
        <v>0</v>
      </c>
      <c r="D14" s="104">
        <f t="shared" si="1"/>
        <v>0</v>
      </c>
      <c r="E14" s="104">
        <f t="shared" si="1"/>
        <v>0</v>
      </c>
      <c r="F14" s="104">
        <f t="shared" si="1"/>
        <v>0</v>
      </c>
      <c r="G14" s="104">
        <f t="shared" si="1"/>
        <v>0</v>
      </c>
      <c r="H14" s="104">
        <f t="shared" si="1"/>
        <v>0</v>
      </c>
      <c r="I14" s="104">
        <f t="shared" si="1"/>
        <v>0</v>
      </c>
      <c r="L14" s="118" t="s">
        <v>69</v>
      </c>
      <c r="M14" s="104">
        <f>M13</f>
        <v>0</v>
      </c>
      <c r="N14" s="104">
        <f t="shared" ref="N14:T14" si="2">N13</f>
        <v>0</v>
      </c>
      <c r="O14" s="104">
        <f t="shared" si="2"/>
        <v>0</v>
      </c>
      <c r="P14" s="104">
        <f t="shared" si="2"/>
        <v>0</v>
      </c>
      <c r="Q14" s="108">
        <f t="shared" si="2"/>
        <v>0</v>
      </c>
      <c r="R14" s="108">
        <f t="shared" si="2"/>
        <v>0</v>
      </c>
      <c r="S14" s="108">
        <f t="shared" si="2"/>
        <v>0</v>
      </c>
      <c r="T14" s="108">
        <f t="shared" si="2"/>
        <v>0</v>
      </c>
      <c r="AC14" s="16" t="s">
        <v>407</v>
      </c>
      <c r="AD14" s="143" t="s">
        <v>148</v>
      </c>
      <c r="AE14" s="144" t="s">
        <v>150</v>
      </c>
      <c r="AF14" s="145" t="s">
        <v>143</v>
      </c>
      <c r="AG14" s="151" t="s">
        <v>152</v>
      </c>
      <c r="AH14" s="151" t="s">
        <v>153</v>
      </c>
      <c r="AI14" s="152" t="s">
        <v>154</v>
      </c>
      <c r="AJ14" s="193" t="s">
        <v>28</v>
      </c>
    </row>
    <row r="15" spans="1:154" ht="7.5" customHeight="1" x14ac:dyDescent="0.2">
      <c r="AC15" s="16" t="s">
        <v>408</v>
      </c>
      <c r="AD15" s="143" t="s">
        <v>148</v>
      </c>
      <c r="AE15" s="144" t="s">
        <v>150</v>
      </c>
      <c r="AF15" s="145" t="s">
        <v>143</v>
      </c>
      <c r="AG15" s="151" t="s">
        <v>152</v>
      </c>
      <c r="AH15" s="151" t="s">
        <v>153</v>
      </c>
      <c r="AI15" s="152" t="s">
        <v>154</v>
      </c>
      <c r="AJ15" s="193" t="s">
        <v>28</v>
      </c>
    </row>
    <row r="16" spans="1:154" ht="63.75" customHeight="1" x14ac:dyDescent="0.2">
      <c r="B16" s="116" t="s">
        <v>68</v>
      </c>
      <c r="C16" s="113" t="s">
        <v>78</v>
      </c>
      <c r="D16" s="113" t="s">
        <v>79</v>
      </c>
      <c r="E16" s="113" t="s">
        <v>80</v>
      </c>
      <c r="F16" s="113" t="s">
        <v>74</v>
      </c>
      <c r="G16" s="113" t="s">
        <v>73</v>
      </c>
      <c r="H16" s="113" t="s">
        <v>122</v>
      </c>
      <c r="I16" s="113" t="s">
        <v>72</v>
      </c>
      <c r="L16" s="116" t="s">
        <v>68</v>
      </c>
      <c r="M16" s="113" t="s">
        <v>86</v>
      </c>
      <c r="N16" s="113" t="s">
        <v>84</v>
      </c>
      <c r="O16" s="113" t="s">
        <v>89</v>
      </c>
      <c r="P16" s="113" t="s">
        <v>123</v>
      </c>
      <c r="Q16" s="114" t="s">
        <v>87</v>
      </c>
      <c r="R16" s="114" t="s">
        <v>88</v>
      </c>
      <c r="S16" s="114" t="s">
        <v>90</v>
      </c>
      <c r="T16" s="114" t="s">
        <v>124</v>
      </c>
      <c r="AC16" s="16" t="s">
        <v>409</v>
      </c>
      <c r="AD16" s="143" t="s">
        <v>148</v>
      </c>
      <c r="AE16" s="144" t="s">
        <v>150</v>
      </c>
      <c r="AF16" s="145" t="s">
        <v>143</v>
      </c>
      <c r="AG16" s="151" t="s">
        <v>152</v>
      </c>
      <c r="AH16" s="151" t="s">
        <v>153</v>
      </c>
      <c r="AI16" s="152" t="s">
        <v>154</v>
      </c>
      <c r="AJ16" s="193" t="s">
        <v>28</v>
      </c>
    </row>
    <row r="17" spans="2:36" ht="30" customHeight="1" x14ac:dyDescent="0.2">
      <c r="B17" s="117" t="s">
        <v>70</v>
      </c>
      <c r="C17" s="123" t="str">
        <f>IFERROR(C10*C13/100,"")</f>
        <v/>
      </c>
      <c r="D17" s="123" t="str">
        <f t="shared" ref="D17:I17" si="3">IFERROR(D10*D13/100,"")</f>
        <v/>
      </c>
      <c r="E17" s="123" t="str">
        <f t="shared" si="3"/>
        <v/>
      </c>
      <c r="F17" s="123" t="str">
        <f t="shared" si="3"/>
        <v/>
      </c>
      <c r="G17" s="123" t="str">
        <f>IFERROR(G10*G13*F13/100,"")</f>
        <v/>
      </c>
      <c r="H17" s="123" t="str">
        <f>IFERROR(H10*H13*F13/100,"")</f>
        <v/>
      </c>
      <c r="I17" s="123" t="str">
        <f t="shared" si="3"/>
        <v/>
      </c>
      <c r="L17" s="119" t="s">
        <v>70</v>
      </c>
      <c r="M17" s="123">
        <f>IFERROR(M10*M13/100,"")</f>
        <v>0</v>
      </c>
      <c r="N17" s="123">
        <f>IFERROR(N10*N13/100,"")</f>
        <v>0</v>
      </c>
      <c r="O17" s="123">
        <f>IFERROR(O10*O13*N13/100,"")</f>
        <v>0</v>
      </c>
      <c r="P17" s="123">
        <f>IFERROR(P10*P13*N13/100,"")</f>
        <v>0</v>
      </c>
      <c r="Q17" s="124">
        <f>IFERROR(Q10*Q13/100,"")</f>
        <v>0</v>
      </c>
      <c r="R17" s="124">
        <f>IFERROR(R10*R13/100,"")</f>
        <v>0</v>
      </c>
      <c r="S17" s="124">
        <f>IFERROR(S10*S13*R13/100,"")</f>
        <v>0</v>
      </c>
      <c r="T17" s="124">
        <f>IFERROR(T10*T13*R13/100,"")</f>
        <v>0</v>
      </c>
      <c r="AC17" s="16" t="s">
        <v>410</v>
      </c>
      <c r="AD17" s="143" t="s">
        <v>148</v>
      </c>
      <c r="AE17" s="144" t="s">
        <v>150</v>
      </c>
      <c r="AF17" s="145" t="s">
        <v>143</v>
      </c>
      <c r="AG17" s="151" t="s">
        <v>152</v>
      </c>
      <c r="AH17" s="151" t="s">
        <v>153</v>
      </c>
      <c r="AI17" s="152" t="s">
        <v>154</v>
      </c>
      <c r="AJ17" s="193" t="s">
        <v>28</v>
      </c>
    </row>
    <row r="18" spans="2:36" ht="30" customHeight="1" x14ac:dyDescent="0.2">
      <c r="B18" s="118" t="s">
        <v>71</v>
      </c>
      <c r="C18" s="125" t="str">
        <f>IFERROR(C10*C14/100,"")</f>
        <v/>
      </c>
      <c r="D18" s="125" t="str">
        <f t="shared" ref="D18:I18" si="4">IFERROR(D10*D14/100,"")</f>
        <v/>
      </c>
      <c r="E18" s="125" t="str">
        <f t="shared" si="4"/>
        <v/>
      </c>
      <c r="F18" s="125" t="str">
        <f t="shared" si="4"/>
        <v/>
      </c>
      <c r="G18" s="125" t="str">
        <f>IFERROR(G10*G14*F14/100,"")</f>
        <v/>
      </c>
      <c r="H18" s="125" t="str">
        <f>IFERROR(H10*H14*F14/100,"")</f>
        <v/>
      </c>
      <c r="I18" s="125" t="str">
        <f t="shared" si="4"/>
        <v/>
      </c>
      <c r="L18" s="120" t="s">
        <v>71</v>
      </c>
      <c r="M18" s="125">
        <f>IFERROR(M10*M14/100,"")</f>
        <v>0</v>
      </c>
      <c r="N18" s="125">
        <f>IFERROR(N10*N14/100,"")</f>
        <v>0</v>
      </c>
      <c r="O18" s="125">
        <f>IFERROR(O10*O14*N14/100,"")</f>
        <v>0</v>
      </c>
      <c r="P18" s="125">
        <f>IFERROR(P10*P14*N14/100,"")</f>
        <v>0</v>
      </c>
      <c r="Q18" s="126">
        <f>IFERROR(Q10*Q14/100,"")</f>
        <v>0</v>
      </c>
      <c r="R18" s="126">
        <f>IFERROR(R10*R14/100,"")</f>
        <v>0</v>
      </c>
      <c r="S18" s="126">
        <f>IFERROR(S10*S14*R14/100,"")</f>
        <v>0</v>
      </c>
      <c r="T18" s="126">
        <f>IFERROR(T10*T14*R14/100,"")</f>
        <v>0</v>
      </c>
      <c r="AC18" s="16" t="s">
        <v>411</v>
      </c>
      <c r="AD18" s="143" t="s">
        <v>148</v>
      </c>
      <c r="AE18" s="144" t="s">
        <v>150</v>
      </c>
      <c r="AF18" s="145" t="s">
        <v>143</v>
      </c>
      <c r="AG18" s="151" t="s">
        <v>152</v>
      </c>
      <c r="AH18" s="151" t="s">
        <v>153</v>
      </c>
      <c r="AI18" s="152" t="s">
        <v>154</v>
      </c>
      <c r="AJ18" s="193" t="s">
        <v>28</v>
      </c>
    </row>
    <row r="19" spans="2:36" ht="7.5" customHeight="1" x14ac:dyDescent="0.2">
      <c r="AC19" s="16" t="s">
        <v>412</v>
      </c>
      <c r="AD19" s="143" t="s">
        <v>148</v>
      </c>
      <c r="AE19" s="144" t="s">
        <v>150</v>
      </c>
      <c r="AF19" s="145" t="s">
        <v>143</v>
      </c>
      <c r="AG19" s="151" t="s">
        <v>152</v>
      </c>
      <c r="AH19" s="151" t="s">
        <v>153</v>
      </c>
      <c r="AI19" s="152" t="s">
        <v>154</v>
      </c>
      <c r="AJ19" s="193" t="s">
        <v>28</v>
      </c>
    </row>
    <row r="20" spans="2:36" ht="39.75" customHeight="1" x14ac:dyDescent="0.2">
      <c r="C20" s="121" t="s">
        <v>75</v>
      </c>
      <c r="M20" s="113" t="s">
        <v>91</v>
      </c>
      <c r="N20" s="114" t="s">
        <v>92</v>
      </c>
      <c r="AC20" s="16" t="s">
        <v>413</v>
      </c>
      <c r="AD20" s="143" t="s">
        <v>148</v>
      </c>
      <c r="AE20" s="144" t="s">
        <v>150</v>
      </c>
      <c r="AF20" s="145" t="s">
        <v>143</v>
      </c>
      <c r="AG20" s="151" t="s">
        <v>152</v>
      </c>
      <c r="AH20" s="151" t="s">
        <v>153</v>
      </c>
      <c r="AI20" s="152" t="s">
        <v>154</v>
      </c>
      <c r="AJ20" s="193" t="s">
        <v>28</v>
      </c>
    </row>
    <row r="21" spans="2:36" ht="30" customHeight="1" x14ac:dyDescent="0.2">
      <c r="B21" s="117" t="s">
        <v>70</v>
      </c>
      <c r="C21" s="123">
        <f>SUM(C17:I17)</f>
        <v>0</v>
      </c>
      <c r="L21" s="117" t="s">
        <v>70</v>
      </c>
      <c r="M21" s="123">
        <f>SUM(M17:P17)</f>
        <v>0</v>
      </c>
      <c r="N21" s="124">
        <f>SUM(Q17:T17)</f>
        <v>0</v>
      </c>
      <c r="AC21" s="16" t="s">
        <v>414</v>
      </c>
      <c r="AD21" s="143" t="s">
        <v>148</v>
      </c>
      <c r="AE21" s="144" t="s">
        <v>150</v>
      </c>
      <c r="AF21" s="145" t="s">
        <v>143</v>
      </c>
      <c r="AG21" s="151" t="s">
        <v>152</v>
      </c>
      <c r="AH21" s="151" t="s">
        <v>153</v>
      </c>
      <c r="AI21" s="152" t="s">
        <v>154</v>
      </c>
      <c r="AJ21" s="193" t="s">
        <v>28</v>
      </c>
    </row>
    <row r="22" spans="2:36" ht="30" customHeight="1" x14ac:dyDescent="0.2">
      <c r="B22" s="118" t="s">
        <v>71</v>
      </c>
      <c r="C22" s="125">
        <f>SUM(C18:I18)</f>
        <v>0</v>
      </c>
      <c r="L22" s="118" t="s">
        <v>71</v>
      </c>
      <c r="M22" s="125">
        <f>SUM(M18:P18)</f>
        <v>0</v>
      </c>
      <c r="N22" s="126">
        <f>SUM(Q18:T18)</f>
        <v>0</v>
      </c>
      <c r="AC22" s="16" t="s">
        <v>415</v>
      </c>
      <c r="AD22" s="143" t="s">
        <v>148</v>
      </c>
      <c r="AE22" s="144" t="s">
        <v>150</v>
      </c>
      <c r="AF22" s="145" t="s">
        <v>143</v>
      </c>
      <c r="AG22" s="151" t="s">
        <v>152</v>
      </c>
      <c r="AH22" s="151" t="s">
        <v>153</v>
      </c>
      <c r="AI22" s="152" t="s">
        <v>154</v>
      </c>
      <c r="AJ22" s="193" t="s">
        <v>28</v>
      </c>
    </row>
    <row r="23" spans="2:36" ht="24.75" customHeight="1" x14ac:dyDescent="0.2">
      <c r="AC23" s="16" t="s">
        <v>416</v>
      </c>
      <c r="AD23" s="143" t="s">
        <v>148</v>
      </c>
      <c r="AE23" s="144" t="s">
        <v>150</v>
      </c>
      <c r="AF23" s="145" t="s">
        <v>143</v>
      </c>
      <c r="AG23" s="151" t="s">
        <v>152</v>
      </c>
      <c r="AH23" s="151" t="s">
        <v>153</v>
      </c>
      <c r="AI23" s="152" t="s">
        <v>154</v>
      </c>
      <c r="AJ23" s="193" t="s">
        <v>28</v>
      </c>
    </row>
    <row r="24" spans="2:36" ht="30.75" customHeight="1" x14ac:dyDescent="0.2">
      <c r="B24" s="288" t="s">
        <v>93</v>
      </c>
      <c r="C24" s="289"/>
      <c r="D24" s="290"/>
      <c r="L24" s="288" t="s">
        <v>94</v>
      </c>
      <c r="M24" s="289"/>
      <c r="N24" s="290"/>
      <c r="AC24" s="16" t="s">
        <v>417</v>
      </c>
      <c r="AD24" s="143" t="s">
        <v>148</v>
      </c>
      <c r="AE24" s="144" t="s">
        <v>150</v>
      </c>
      <c r="AF24" s="145" t="s">
        <v>143</v>
      </c>
      <c r="AG24" s="151" t="s">
        <v>152</v>
      </c>
      <c r="AH24" s="151" t="s">
        <v>153</v>
      </c>
      <c r="AI24" s="152" t="s">
        <v>154</v>
      </c>
      <c r="AJ24" s="193" t="s">
        <v>28</v>
      </c>
    </row>
    <row r="25" spans="2:36" ht="45" x14ac:dyDescent="0.2">
      <c r="AC25" s="16" t="s">
        <v>418</v>
      </c>
      <c r="AD25" s="143" t="s">
        <v>148</v>
      </c>
      <c r="AE25" s="144" t="s">
        <v>150</v>
      </c>
      <c r="AF25" s="145" t="s">
        <v>143</v>
      </c>
      <c r="AG25" s="151" t="s">
        <v>152</v>
      </c>
      <c r="AH25" s="151" t="s">
        <v>153</v>
      </c>
      <c r="AI25" s="152" t="s">
        <v>154</v>
      </c>
      <c r="AJ25" s="193" t="s">
        <v>28</v>
      </c>
    </row>
    <row r="26" spans="2:36" ht="45" x14ac:dyDescent="0.2">
      <c r="AC26" s="16" t="s">
        <v>131</v>
      </c>
      <c r="AD26" s="149" t="s">
        <v>149</v>
      </c>
      <c r="AE26" s="150" t="s">
        <v>151</v>
      </c>
      <c r="AF26" s="145" t="s">
        <v>143</v>
      </c>
      <c r="AG26" s="146" t="s">
        <v>155</v>
      </c>
      <c r="AH26" s="146" t="s">
        <v>155</v>
      </c>
      <c r="AI26" s="146" t="s">
        <v>155</v>
      </c>
      <c r="AJ26" s="146" t="s">
        <v>155</v>
      </c>
    </row>
    <row r="27" spans="2:36" ht="45" x14ac:dyDescent="0.2">
      <c r="AC27" s="16" t="s">
        <v>132</v>
      </c>
      <c r="AD27" s="143" t="s">
        <v>148</v>
      </c>
      <c r="AE27" s="144" t="s">
        <v>150</v>
      </c>
      <c r="AF27" s="145" t="s">
        <v>143</v>
      </c>
      <c r="AG27" s="151" t="s">
        <v>152</v>
      </c>
      <c r="AH27" s="146" t="s">
        <v>155</v>
      </c>
      <c r="AI27" s="146" t="s">
        <v>155</v>
      </c>
      <c r="AJ27" s="146" t="s">
        <v>155</v>
      </c>
    </row>
    <row r="28" spans="2:36" ht="45" x14ac:dyDescent="0.2">
      <c r="AC28" s="16" t="s">
        <v>133</v>
      </c>
      <c r="AD28" s="143" t="s">
        <v>148</v>
      </c>
      <c r="AE28" s="144" t="s">
        <v>150</v>
      </c>
      <c r="AF28" s="145" t="s">
        <v>143</v>
      </c>
      <c r="AG28" s="151" t="s">
        <v>152</v>
      </c>
      <c r="AH28" s="146" t="s">
        <v>155</v>
      </c>
      <c r="AI28" s="146" t="s">
        <v>155</v>
      </c>
      <c r="AJ28" s="146" t="s">
        <v>155</v>
      </c>
    </row>
    <row r="29" spans="2:36" ht="45" x14ac:dyDescent="0.2">
      <c r="AC29" s="16" t="s">
        <v>134</v>
      </c>
      <c r="AD29" s="143" t="s">
        <v>148</v>
      </c>
      <c r="AE29" s="144" t="s">
        <v>150</v>
      </c>
      <c r="AF29" s="145" t="s">
        <v>143</v>
      </c>
      <c r="AG29" s="151" t="s">
        <v>152</v>
      </c>
      <c r="AH29" s="146" t="s">
        <v>155</v>
      </c>
      <c r="AI29" s="146" t="s">
        <v>155</v>
      </c>
      <c r="AJ29" s="148" t="s">
        <v>28</v>
      </c>
    </row>
    <row r="30" spans="2:36" ht="45" x14ac:dyDescent="0.2">
      <c r="AC30" s="16" t="s">
        <v>135</v>
      </c>
      <c r="AD30" s="143" t="s">
        <v>148</v>
      </c>
      <c r="AE30" s="144" t="s">
        <v>150</v>
      </c>
      <c r="AF30" s="145" t="s">
        <v>143</v>
      </c>
      <c r="AG30" s="151" t="s">
        <v>152</v>
      </c>
      <c r="AH30" s="146" t="s">
        <v>155</v>
      </c>
      <c r="AI30" s="146" t="s">
        <v>155</v>
      </c>
      <c r="AJ30" s="146" t="s">
        <v>155</v>
      </c>
    </row>
    <row r="31" spans="2:36" ht="45" x14ac:dyDescent="0.2">
      <c r="AC31" s="16" t="s">
        <v>136</v>
      </c>
      <c r="AD31" s="143" t="s">
        <v>148</v>
      </c>
      <c r="AE31" s="144" t="s">
        <v>150</v>
      </c>
      <c r="AF31" s="145" t="s">
        <v>143</v>
      </c>
      <c r="AG31" s="151" t="s">
        <v>152</v>
      </c>
      <c r="AH31" s="146" t="s">
        <v>155</v>
      </c>
      <c r="AI31" s="146" t="s">
        <v>155</v>
      </c>
      <c r="AJ31" s="148" t="s">
        <v>28</v>
      </c>
    </row>
    <row r="32" spans="2:36" ht="51" x14ac:dyDescent="0.2">
      <c r="AC32" s="16" t="s">
        <v>137</v>
      </c>
      <c r="AD32" s="143" t="s">
        <v>148</v>
      </c>
      <c r="AE32" s="144" t="s">
        <v>150</v>
      </c>
      <c r="AF32" s="145" t="s">
        <v>143</v>
      </c>
      <c r="AG32" s="151" t="s">
        <v>152</v>
      </c>
      <c r="AH32" s="146" t="s">
        <v>155</v>
      </c>
      <c r="AI32" s="146" t="s">
        <v>155</v>
      </c>
      <c r="AJ32" s="146" t="s">
        <v>155</v>
      </c>
    </row>
    <row r="33" spans="29:36" ht="45" x14ac:dyDescent="0.2">
      <c r="AC33" s="16" t="s">
        <v>138</v>
      </c>
      <c r="AD33" s="143" t="s">
        <v>148</v>
      </c>
      <c r="AE33" s="144" t="s">
        <v>150</v>
      </c>
      <c r="AF33" s="145" t="s">
        <v>143</v>
      </c>
      <c r="AG33" s="151" t="s">
        <v>152</v>
      </c>
      <c r="AH33" s="146" t="s">
        <v>155</v>
      </c>
      <c r="AI33" s="146" t="s">
        <v>155</v>
      </c>
      <c r="AJ33" s="148" t="s">
        <v>28</v>
      </c>
    </row>
    <row r="34" spans="29:36" ht="45" x14ac:dyDescent="0.2">
      <c r="AC34" s="16" t="s">
        <v>139</v>
      </c>
      <c r="AD34" s="143" t="s">
        <v>148</v>
      </c>
      <c r="AE34" s="144" t="s">
        <v>150</v>
      </c>
      <c r="AF34" s="145" t="s">
        <v>143</v>
      </c>
      <c r="AG34" s="151" t="s">
        <v>152</v>
      </c>
      <c r="AH34" s="146" t="s">
        <v>155</v>
      </c>
      <c r="AI34" s="146" t="s">
        <v>155</v>
      </c>
      <c r="AJ34" s="146" t="s">
        <v>155</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2025-12-27T21:40:10Z</cp:lastPrinted>
  <dcterms:created xsi:type="dcterms:W3CDTF">2009-11-12T11:38:00Z</dcterms:created>
  <dcterms:modified xsi:type="dcterms:W3CDTF">2026-02-17T15:15:53Z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